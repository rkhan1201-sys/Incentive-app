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D\Downloads\"/>
    </mc:Choice>
  </mc:AlternateContent>
  <xr:revisionPtr revIDLastSave="0" documentId="13_ncr:1_{A28E8235-9604-4508-BFED-5412DABD0854}" xr6:coauthVersionLast="47" xr6:coauthVersionMax="47" xr10:uidLastSave="{00000000-0000-0000-0000-000000000000}"/>
  <bookViews>
    <workbookView xWindow="-96" yWindow="-96" windowWidth="23232" windowHeight="12432" xr2:uid="{2D418D28-FAF0-4FCD-947D-88B3EAE0AD21}"/>
  </bookViews>
  <sheets>
    <sheet name="Incentive Calc" sheetId="10" r:id="rId1"/>
    <sheet name="Breakeven- avg GP (3)" sheetId="9" r:id="rId2"/>
    <sheet name="Last 6 Months sales " sheetId="8" r:id="rId3"/>
    <sheet name="Breakeven- avg GP (2)" sheetId="7" r:id="rId4"/>
    <sheet name="Farm-26" sheetId="6" r:id="rId5"/>
  </sheets>
  <externalReferences>
    <externalReference r:id="rId6"/>
  </externalReferences>
  <definedNames>
    <definedName name="_xlnm._FilterDatabase" localSheetId="4" hidden="1">'Farm-26'!$B$81:$J$100</definedName>
    <definedName name="aaaaaaa" localSheetId="3">#REF!</definedName>
    <definedName name="aaaaaaa" localSheetId="1">#REF!</definedName>
    <definedName name="aaaaaaa">#REF!</definedName>
    <definedName name="Actual_Number_of_Payments">IFERROR(IF(LoanIsGood,IF(PaymentsPerYear=1,1,MATCH(0.01,End_Bal,-1)+1)),"")</definedName>
    <definedName name="ActualNumberOfPayments" localSheetId="3">IFERROR(IF('Breakeven- avg GP (2)'!LoanIsGood,IF('Breakeven- avg GP (2)'!PaymentsPerYear=1,1,MATCH(0.01,'Breakeven- avg GP (2)'!End_Bal,-1)+1)),"")</definedName>
    <definedName name="ActualNumberOfPayments" localSheetId="1">IFERROR(IF('Breakeven- avg GP (3)'!LoanIsGood,IF('Breakeven- avg GP (3)'!PaymentsPerYear=1,1,MATCH(0.01,'Breakeven- avg GP (3)'!End_Bal,-1)+1)),"")</definedName>
    <definedName name="ActualNumberOfPayments" localSheetId="4">IFERROR(IF(LoanIsGood,IF(PaymentsPerYear=1,1,MATCH(0.01,End_Bal,-1)+1)),"")</definedName>
    <definedName name="ActualNumberOfPayments" localSheetId="0">IFERROR(IF([0]!LoanIsGood,IF([0]!PaymentsPerYear=1,1,MATCH(0.01,[0]!End_Bal,-1)+1)),"")</definedName>
    <definedName name="ActualNumberOfPayments" localSheetId="2">IFERROR(IF(LoanIsGood,IF(PaymentsPerYear=1,1,MATCH(0.01,End_Bal,-1)+1)),"")</definedName>
    <definedName name="ActualNumberOfPayments">IFERROR(IF(LoanIsGood,IF(PaymentsPerYear=1,1,MATCH(0.01,End_Bal,-1)+1)),"")</definedName>
    <definedName name="ads" localSheetId="3">#REF!</definedName>
    <definedName name="ads" localSheetId="1">#REF!</definedName>
    <definedName name="ads">#REF!</definedName>
    <definedName name="as" localSheetId="3">#REF!</definedName>
    <definedName name="as" localSheetId="1">#REF!</definedName>
    <definedName name="as">#REF!</definedName>
    <definedName name="asd" localSheetId="3">#REF!</definedName>
    <definedName name="asd" localSheetId="1">#REF!</definedName>
    <definedName name="asd">#REF!</definedName>
    <definedName name="asf">#REF!</definedName>
    <definedName name="bank_cy" localSheetId="3">#REF!</definedName>
    <definedName name="bank_cy" localSheetId="1">#REF!</definedName>
    <definedName name="bank_cy">#REF!</definedName>
    <definedName name="Beg_Bal" localSheetId="3">#REF!</definedName>
    <definedName name="Beg_Bal" localSheetId="1">#REF!</definedName>
    <definedName name="Beg_Bal">#REF!</definedName>
    <definedName name="bng" localSheetId="3">#REF!</definedName>
    <definedName name="bng" localSheetId="1">#REF!</definedName>
    <definedName name="bng">#REF!</definedName>
    <definedName name="Ccc" localSheetId="3">#REF!</definedName>
    <definedName name="Ccc" localSheetId="1">#REF!</definedName>
    <definedName name="Ccc">#REF!</definedName>
    <definedName name="ColumnTitle1" localSheetId="3">#REF!</definedName>
    <definedName name="ColumnTitle1" localSheetId="1">#REF!</definedName>
    <definedName name="ColumnTitle1">#REF!</definedName>
    <definedName name="creditors">#REF!</definedName>
    <definedName name="creditors_cy" localSheetId="3">#REF!</definedName>
    <definedName name="creditors_cy" localSheetId="1">#REF!</definedName>
    <definedName name="creditors_cy">#REF!</definedName>
    <definedName name="Cum_Int" localSheetId="3">#REF!</definedName>
    <definedName name="Cum_Int" localSheetId="1">#REF!</definedName>
    <definedName name="Cum_Int">#REF!</definedName>
    <definedName name="Data" localSheetId="3">#REF!</definedName>
    <definedName name="Data" localSheetId="1">#REF!</definedName>
    <definedName name="Data">#REF!</definedName>
    <definedName name="End_Bal" localSheetId="3">#REF!</definedName>
    <definedName name="End_Bal" localSheetId="1">#REF!</definedName>
    <definedName name="End_Bal">#REF!</definedName>
    <definedName name="expense_cy" localSheetId="3">#REF!</definedName>
    <definedName name="expense_cy" localSheetId="1">#REF!</definedName>
    <definedName name="expense_cy">#REF!</definedName>
    <definedName name="export" localSheetId="3">#REF!</definedName>
    <definedName name="export" localSheetId="1">#REF!</definedName>
    <definedName name="export">#REF!</definedName>
    <definedName name="export_cy" localSheetId="3">#REF!</definedName>
    <definedName name="export_cy" localSheetId="1">#REF!</definedName>
    <definedName name="export_cy">#REF!</definedName>
    <definedName name="Extra_Pay" localSheetId="3">#REF!</definedName>
    <definedName name="Extra_Pay" localSheetId="1">#REF!</definedName>
    <definedName name="Extra_Pay">#REF!</definedName>
    <definedName name="ExtraPayments" localSheetId="3">#REF!</definedName>
    <definedName name="ExtraPayments" localSheetId="1">#REF!</definedName>
    <definedName name="ExtraPayments">#REF!</definedName>
    <definedName name="Full_Print" localSheetId="3">#REF!</definedName>
    <definedName name="Full_Print" localSheetId="1">#REF!</definedName>
    <definedName name="Full_Print">#REF!</definedName>
    <definedName name="ggh">#REF!</definedName>
    <definedName name="Header_Row" localSheetId="3">ROW(#REF!)</definedName>
    <definedName name="Header_Row" localSheetId="1">ROW(#REF!)</definedName>
    <definedName name="Header_Row">ROW(#REF!)</definedName>
    <definedName name="Int" localSheetId="3">#REF!</definedName>
    <definedName name="Int" localSheetId="1">#REF!</definedName>
    <definedName name="Int">#REF!</definedName>
    <definedName name="Interest_Rate" localSheetId="3">#REF!</definedName>
    <definedName name="Interest_Rate" localSheetId="1">#REF!</definedName>
    <definedName name="Interest_Rate">#REF!</definedName>
    <definedName name="InterestRate" localSheetId="3">#REF!</definedName>
    <definedName name="InterestRate" localSheetId="1">#REF!</definedName>
    <definedName name="InterestRate">#REF!</definedName>
    <definedName name="inventory_cy" localSheetId="3">#REF!</definedName>
    <definedName name="inventory_cy" localSheetId="1">#REF!</definedName>
    <definedName name="inventory_cy">#REF!</definedName>
    <definedName name="k" localSheetId="3">DATE(YEAR([0]!Loan_Start),MONTH([0]!Loan_Start)+Payment_Number,DAY([0]!Loan_Start))</definedName>
    <definedName name="k" localSheetId="1">DATE(YEAR([0]!Loan_Start),MONTH([0]!Loan_Start)+Payment_Number,DAY([0]!Loan_Start))</definedName>
    <definedName name="k" localSheetId="4">DATE(YEAR([0]!Loan_Start),MONTH([0]!Loan_Start)+Payment_Number,DAY([0]!Loan_Start))</definedName>
    <definedName name="k" localSheetId="0">DATE(YEAR([0]!Loan_Start),MONTH([0]!Loan_Start)+Payment_Number,DAY([0]!Loan_Start))</definedName>
    <definedName name="k" localSheetId="2">DATE(YEAR([0]!Loan_Start),MONTH([0]!Loan_Start)+Payment_Number,DAY([0]!Loan_Start))</definedName>
    <definedName name="k">DATE(YEAR([0]!Loan_Start),MONTH([0]!Loan_Start)+Payment_Number,DAY([0]!Loan_Start))</definedName>
    <definedName name="kkkm">#REF!</definedName>
    <definedName name="Last_Row" localSheetId="3">IF('Breakeven- avg GP (2)'!Values_Entered,'Breakeven- avg GP (2)'!Header_Row+'Breakeven- avg GP (2)'!Number_of_Payments,'Breakeven- avg GP (2)'!Header_Row)</definedName>
    <definedName name="Last_Row" localSheetId="1">IF('Breakeven- avg GP (3)'!Values_Entered,'Breakeven- avg GP (3)'!Header_Row+'Breakeven- avg GP (3)'!Number_of_Payments,'Breakeven- avg GP (3)'!Header_Row)</definedName>
    <definedName name="Last_Row" localSheetId="4">IF('Farm-26'!Values_Entered,Header_Row+'Farm-26'!Number_of_Payments,Header_Row)</definedName>
    <definedName name="Last_Row" localSheetId="0">IF('Incentive Calc'!Values_Entered,[0]!Header_Row+'Incentive Calc'!Number_of_Payments,[0]!Header_Row)</definedName>
    <definedName name="Last_Row" localSheetId="2">IF('Last 6 Months sales '!Values_Entered,Header_Row+'Last 6 Months sales '!Number_of_Payments,Header_Row)</definedName>
    <definedName name="Last_Row">IF(Values_Entered,Header_Row+Number_of_Payments,Header_Row)</definedName>
    <definedName name="LastCol" localSheetId="3">MATCH(REPT("z",255),#REF!)</definedName>
    <definedName name="LastCol" localSheetId="1">MATCH(REPT("z",255),#REF!)</definedName>
    <definedName name="LastCol">MATCH(REPT("z",255),#REF!)</definedName>
    <definedName name="LastRow" localSheetId="3">MATCH(9.99E+307,#REF!)</definedName>
    <definedName name="LastRow" localSheetId="1">MATCH(9.99E+307,#REF!)</definedName>
    <definedName name="LastRow">MATCH(9.99E+307,#REF!)</definedName>
    <definedName name="LenderName" localSheetId="3">#REF!</definedName>
    <definedName name="LenderName" localSheetId="1">#REF!</definedName>
    <definedName name="LenderName">#REF!</definedName>
    <definedName name="loan_advances_cy" localSheetId="3">#REF!</definedName>
    <definedName name="loan_advances_cy" localSheetId="1">#REF!</definedName>
    <definedName name="loan_advances_cy">#REF!</definedName>
    <definedName name="Loan_Amount" localSheetId="3">#REF!</definedName>
    <definedName name="Loan_Amount" localSheetId="1">#REF!</definedName>
    <definedName name="Loan_Amount">#REF!</definedName>
    <definedName name="Loan_Start" localSheetId="3">#REF!</definedName>
    <definedName name="Loan_Start" localSheetId="1">#REF!</definedName>
    <definedName name="Loan_Start">#REF!</definedName>
    <definedName name="Loan_Years" localSheetId="3">#REF!</definedName>
    <definedName name="Loan_Years" localSheetId="1">#REF!</definedName>
    <definedName name="Loan_Years">#REF!</definedName>
    <definedName name="LoanAmount" localSheetId="3">#REF!</definedName>
    <definedName name="LoanAmount" localSheetId="1">#REF!</definedName>
    <definedName name="LoanAmount">#REF!</definedName>
    <definedName name="LoanIsGood" localSheetId="3">(#REF!*#REF!*#REF!*#REF!)&gt;0</definedName>
    <definedName name="LoanIsGood" localSheetId="1">(#REF!*#REF!*#REF!*#REF!)&gt;0</definedName>
    <definedName name="LoanIsGood">(#REF!*#REF!*#REF!*#REF!)&gt;0</definedName>
    <definedName name="LoanPeriod" localSheetId="3">#REF!</definedName>
    <definedName name="LoanPeriod" localSheetId="1">#REF!</definedName>
    <definedName name="LoanPeriod">#REF!</definedName>
    <definedName name="LoanStartDate" localSheetId="3">#REF!</definedName>
    <definedName name="LoanStartDate" localSheetId="1">#REF!</definedName>
    <definedName name="LoanStartDate">#REF!</definedName>
    <definedName name="mfg_oh_cy" localSheetId="3">#REF!</definedName>
    <definedName name="mfg_oh_cy" localSheetId="1">#REF!</definedName>
    <definedName name="mfg_oh_cy">#REF!</definedName>
    <definedName name="Num_Pmt_Per_Year" localSheetId="3">#REF!</definedName>
    <definedName name="Num_Pmt_Per_Year" localSheetId="1">#REF!</definedName>
    <definedName name="Num_Pmt_Per_Year">#REF!</definedName>
    <definedName name="Number_of_Payments" localSheetId="3">MATCH(0.01,'Breakeven- avg GP (2)'!End_Bal,-1)+1</definedName>
    <definedName name="Number_of_Payments" localSheetId="1">MATCH(0.01,'Breakeven- avg GP (3)'!End_Bal,-1)+1</definedName>
    <definedName name="Number_of_Payments" localSheetId="4">MATCH(0.01,End_Bal,-1)+1</definedName>
    <definedName name="Number_of_Payments" localSheetId="0">MATCH(0.01,[0]!End_Bal,-1)+1</definedName>
    <definedName name="Number_of_Payments" localSheetId="2">MATCH(0.01,End_Bal,-1)+1</definedName>
    <definedName name="Number_of_Payments">MATCH(0.01,End_Bal,-1)+1</definedName>
    <definedName name="other_current_assets_cy" localSheetId="3">#REF!</definedName>
    <definedName name="other_current_assets_cy" localSheetId="1">#REF!</definedName>
    <definedName name="other_current_assets_cy">#REF!</definedName>
    <definedName name="other_loans_cy" localSheetId="3">#REF!</definedName>
    <definedName name="other_loans_cy" localSheetId="1">#REF!</definedName>
    <definedName name="other_loans_cy">#REF!</definedName>
    <definedName name="overdraft_cy" localSheetId="3">#REF!</definedName>
    <definedName name="overdraft_cy" localSheetId="1">#REF!</definedName>
    <definedName name="overdraft_cy">#REF!</definedName>
    <definedName name="Pay_Date" localSheetId="3">#REF!</definedName>
    <definedName name="Pay_Date" localSheetId="1">#REF!</definedName>
    <definedName name="Pay_Date">#REF!</definedName>
    <definedName name="Pay_Num" localSheetId="3">#REF!</definedName>
    <definedName name="Pay_Num" localSheetId="1">#REF!</definedName>
    <definedName name="Pay_Num">#REF!</definedName>
    <definedName name="Payment_Date" localSheetId="3">DATE(YEAR('Breakeven- avg GP (2)'!Loan_Start),MONTH('Breakeven- avg GP (2)'!Loan_Start)+Payment_Number,DAY('Breakeven- avg GP (2)'!Loan_Start))</definedName>
    <definedName name="Payment_Date" localSheetId="1">DATE(YEAR('Breakeven- avg GP (3)'!Loan_Start),MONTH('Breakeven- avg GP (3)'!Loan_Start)+Payment_Number,DAY('Breakeven- avg GP (3)'!Loan_Start))</definedName>
    <definedName name="Payment_Date" localSheetId="4">DATE(YEAR(Loan_Start),MONTH(Loan_Start)+Payment_Number,DAY(Loan_Start))</definedName>
    <definedName name="Payment_Date" localSheetId="0">DATE(YEAR([0]!Loan_Start),MONTH([0]!Loan_Start)+Payment_Number,DAY([0]!Loan_Start))</definedName>
    <definedName name="Payment_Date" localSheetId="2">DATE(YEAR(Loan_Start),MONTH(Loan_Start)+Payment_Number,DAY(Loan_Start))</definedName>
    <definedName name="Payment_Date">DATE(YEAR(Loan_Start),MONTH(Loan_Start)+Payment_Number,DAY(Loan_Start))</definedName>
    <definedName name="PaymentsPerYear" localSheetId="3">#REF!</definedName>
    <definedName name="PaymentsPerYear" localSheetId="1">#REF!</definedName>
    <definedName name="PaymentsPerYear">#REF!</definedName>
    <definedName name="Princ" localSheetId="3">#REF!</definedName>
    <definedName name="Princ" localSheetId="1">#REF!</definedName>
    <definedName name="Princ">#REF!</definedName>
    <definedName name="Print_Area_Reset" localSheetId="3">OFFSET('Breakeven- avg GP (2)'!Full_Print,0,0,'Breakeven- avg GP (2)'!Last_Row)</definedName>
    <definedName name="Print_Area_Reset" localSheetId="1">OFFSET('Breakeven- avg GP (3)'!Full_Print,0,0,'Breakeven- avg GP (3)'!Last_Row)</definedName>
    <definedName name="Print_Area_Reset" localSheetId="4">OFFSET(Full_Print,0,0,'Farm-26'!Last_Row)</definedName>
    <definedName name="Print_Area_Reset" localSheetId="0">OFFSET([0]!Full_Print,0,0,'Incentive Calc'!Last_Row)</definedName>
    <definedName name="Print_Area_Reset" localSheetId="2">OFFSET(Full_Print,0,0,'Last 6 Months sales '!Last_Row)</definedName>
    <definedName name="Print_Area_Reset">OFFSET(Full_Print,0,0,Last_Row)</definedName>
    <definedName name="PrintArea_SET" localSheetId="3">OFFSET(#REF!,,,'Breakeven- avg GP (2)'!LastRow,'Breakeven- avg GP (2)'!LastCol)</definedName>
    <definedName name="PrintArea_SET" localSheetId="1">OFFSET(#REF!,,,'Breakeven- avg GP (3)'!LastRow,'Breakeven- avg GP (3)'!LastCol)</definedName>
    <definedName name="PrintArea_SET" localSheetId="4">OFFSET(#REF!,,,LastRow,LastCol)</definedName>
    <definedName name="PrintArea_SET" localSheetId="0">OFFSET(#REF!,,,[0]!LastRow,[0]!LastCol)</definedName>
    <definedName name="PrintArea_SET" localSheetId="2">OFFSET(#REF!,,,LastRow,LastCol)</definedName>
    <definedName name="PrintArea_SET">OFFSET(#REF!,,,LastRow,LastCol)</definedName>
    <definedName name="project_loan_cy" localSheetId="3">#REF!</definedName>
    <definedName name="project_loan_cy" localSheetId="1">#REF!</definedName>
    <definedName name="project_loan_cy">#REF!</definedName>
    <definedName name="retain_earn" localSheetId="3">#REF!</definedName>
    <definedName name="retain_earn" localSheetId="1">#REF!</definedName>
    <definedName name="retain_earn">#REF!</definedName>
    <definedName name="retained_earning_cy" localSheetId="3">#REF!</definedName>
    <definedName name="retained_earning_cy" localSheetId="1">#REF!</definedName>
    <definedName name="retained_earning_cy">#REF!</definedName>
    <definedName name="rgr" localSheetId="3">#REF!</definedName>
    <definedName name="rgr" localSheetId="1">#REF!</definedName>
    <definedName name="rgr">#REF!</definedName>
    <definedName name="RowTitleRegion1..E9" localSheetId="3">#REF!</definedName>
    <definedName name="RowTitleRegion1..E9" localSheetId="1">#REF!</definedName>
    <definedName name="RowTitleRegion1..E9">#REF!</definedName>
    <definedName name="RowTitleRegion2..I7" localSheetId="3">#REF!</definedName>
    <definedName name="RowTitleRegion2..I7" localSheetId="1">#REF!</definedName>
    <definedName name="RowTitleRegion2..I7">#REF!</definedName>
    <definedName name="RowTitleRegion3..E9" localSheetId="3">#REF!</definedName>
    <definedName name="RowTitleRegion3..E9" localSheetId="1">#REF!</definedName>
    <definedName name="RowTitleRegion3..E9">#REF!</definedName>
    <definedName name="RowTitleRegion4..H9" localSheetId="3">#REF!</definedName>
    <definedName name="RowTitleRegion4..H9" localSheetId="1">#REF!</definedName>
    <definedName name="RowTitleRegion4..H9">#REF!</definedName>
    <definedName name="Sched_Pay" localSheetId="3">#REF!</definedName>
    <definedName name="Sched_Pay" localSheetId="1">#REF!</definedName>
    <definedName name="Sched_Pay">#REF!</definedName>
    <definedName name="schedule" localSheetId="3">#REF!</definedName>
    <definedName name="schedule" localSheetId="1">#REF!</definedName>
    <definedName name="schedule">#REF!</definedName>
    <definedName name="Scheduled_Extra_Payments" localSheetId="3">#REF!</definedName>
    <definedName name="Scheduled_Extra_Payments" localSheetId="1">#REF!</definedName>
    <definedName name="Scheduled_Extra_Payments">#REF!</definedName>
    <definedName name="Scheduled_Interest_Rate" localSheetId="3">#REF!</definedName>
    <definedName name="Scheduled_Interest_Rate" localSheetId="1">#REF!</definedName>
    <definedName name="Scheduled_Interest_Rate">#REF!</definedName>
    <definedName name="Scheduled_Monthly_Payment" localSheetId="3">#REF!</definedName>
    <definedName name="Scheduled_Monthly_Payment" localSheetId="1">#REF!</definedName>
    <definedName name="Scheduled_Monthly_Payment">#REF!</definedName>
    <definedName name="ScheduledNumberOfPayments" localSheetId="3">#REF!</definedName>
    <definedName name="ScheduledNumberOfPayments" localSheetId="1">#REF!</definedName>
    <definedName name="ScheduledNumberOfPayments">#REF!</definedName>
    <definedName name="ScheduledPayment" localSheetId="3">#REF!</definedName>
    <definedName name="ScheduledPayment" localSheetId="1">#REF!</definedName>
    <definedName name="ScheduledPayment">#REF!</definedName>
    <definedName name="sssss" localSheetId="3">#REF!</definedName>
    <definedName name="sssss" localSheetId="1">#REF!</definedName>
    <definedName name="sssss">#REF!</definedName>
    <definedName name="sundry_debtors_cy" localSheetId="3">#REF!</definedName>
    <definedName name="sundry_debtors_cy" localSheetId="1">#REF!</definedName>
    <definedName name="sundry_debtors_cy">#REF!</definedName>
    <definedName name="TAX" localSheetId="3">#REF!</definedName>
    <definedName name="TAX" localSheetId="1">#REF!</definedName>
    <definedName name="TAX">#REF!</definedName>
    <definedName name="TDS" localSheetId="3">#REF!</definedName>
    <definedName name="TDS" localSheetId="1">#REF!</definedName>
    <definedName name="TDS">#REF!</definedName>
    <definedName name="Total_Interest" localSheetId="3">#REF!</definedName>
    <definedName name="Total_Interest" localSheetId="1">#REF!</definedName>
    <definedName name="Total_Interest">#REF!</definedName>
    <definedName name="Total_Pay" localSheetId="3">#REF!</definedName>
    <definedName name="Total_Pay" localSheetId="1">#REF!</definedName>
    <definedName name="Total_Pay">#REF!</definedName>
    <definedName name="TotalEarlyPayments" localSheetId="3">SUM(#REF!)</definedName>
    <definedName name="TotalEarlyPayments" localSheetId="1">SUM(#REF!)</definedName>
    <definedName name="TotalEarlyPayments">SUM(#REF!)</definedName>
    <definedName name="TotalInterest" localSheetId="3">SUM(#REF!)</definedName>
    <definedName name="TotalInterest" localSheetId="1">SUM(#REF!)</definedName>
    <definedName name="TotalInterest">SUM(#REF!)</definedName>
    <definedName name="Values_Entered" localSheetId="3">IF('Breakeven- avg GP (2)'!Loan_Amount*'Breakeven- avg GP (2)'!Interest_Rate*'Breakeven- avg GP (2)'!Loan_Years*'Breakeven- avg GP (2)'!Loan_Start&gt;0,1,0)</definedName>
    <definedName name="Values_Entered" localSheetId="1">IF('Breakeven- avg GP (3)'!Loan_Amount*'Breakeven- avg GP (3)'!Interest_Rate*'Breakeven- avg GP (3)'!Loan_Years*'Breakeven- avg GP (3)'!Loan_Start&gt;0,1,0)</definedName>
    <definedName name="Values_Entered" localSheetId="4">IF(Loan_Amount*Interest_Rate*Loan_Years*Loan_Start&gt;0,1,0)</definedName>
    <definedName name="Values_Entered" localSheetId="0">IF([0]!Loan_Amount*[0]!Interest_Rate*[0]!Loan_Years*[0]!Loan_Start&gt;0,1,0)</definedName>
    <definedName name="Values_Entered" localSheetId="2">IF(Loan_Amount*Interest_Rate*Loan_Years*Loan_Start&gt;0,1,0)</definedName>
    <definedName name="Values_Entered">IF(Loan_Amount*Interest_Rate*Loan_Years*Loan_Start&gt;0,1,0)</definedName>
    <definedName name="vcbfdg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2" i="10" l="1"/>
  <c r="K55" i="10"/>
  <c r="K48" i="10"/>
  <c r="K41" i="10"/>
  <c r="K27" i="10"/>
  <c r="K20" i="10"/>
  <c r="K12" i="10"/>
  <c r="E38" i="9"/>
  <c r="F38" i="9"/>
  <c r="G38" i="9"/>
  <c r="H38" i="9"/>
  <c r="I38" i="9"/>
  <c r="J38" i="9"/>
  <c r="K38" i="9"/>
  <c r="L38" i="9"/>
  <c r="M38" i="9"/>
  <c r="N38" i="9"/>
  <c r="O38" i="9"/>
  <c r="D38" i="9"/>
  <c r="J11" i="10"/>
  <c r="J76" i="10"/>
  <c r="G76" i="10"/>
  <c r="D76" i="10"/>
  <c r="H75" i="10"/>
  <c r="I75" i="10" s="1"/>
  <c r="E75" i="10"/>
  <c r="F75" i="10" s="1"/>
  <c r="H74" i="10"/>
  <c r="I74" i="10" s="1"/>
  <c r="E74" i="10"/>
  <c r="F74" i="10" s="1"/>
  <c r="H73" i="10"/>
  <c r="I73" i="10" s="1"/>
  <c r="F73" i="10"/>
  <c r="E73" i="10"/>
  <c r="H72" i="10"/>
  <c r="I72" i="10" s="1"/>
  <c r="E72" i="10"/>
  <c r="J69" i="10"/>
  <c r="G69" i="10"/>
  <c r="D69" i="10"/>
  <c r="H68" i="10"/>
  <c r="I68" i="10" s="1"/>
  <c r="E68" i="10"/>
  <c r="F68" i="10" s="1"/>
  <c r="H67" i="10"/>
  <c r="I67" i="10" s="1"/>
  <c r="E67" i="10"/>
  <c r="F67" i="10" s="1"/>
  <c r="H66" i="10"/>
  <c r="I66" i="10" s="1"/>
  <c r="E66" i="10"/>
  <c r="F66" i="10" s="1"/>
  <c r="H65" i="10"/>
  <c r="I65" i="10" s="1"/>
  <c r="F65" i="10"/>
  <c r="E65" i="10"/>
  <c r="G62" i="10"/>
  <c r="D62" i="10"/>
  <c r="J61" i="10"/>
  <c r="J62" i="10" s="1"/>
  <c r="H61" i="10"/>
  <c r="I61" i="10" s="1"/>
  <c r="E61" i="10"/>
  <c r="F61" i="10" s="1"/>
  <c r="H60" i="10"/>
  <c r="I60" i="10" s="1"/>
  <c r="E60" i="10"/>
  <c r="F60" i="10" s="1"/>
  <c r="H59" i="10"/>
  <c r="I59" i="10" s="1"/>
  <c r="E59" i="10"/>
  <c r="F59" i="10" s="1"/>
  <c r="H58" i="10"/>
  <c r="I58" i="10" s="1"/>
  <c r="E58" i="10"/>
  <c r="G55" i="10"/>
  <c r="D55" i="10"/>
  <c r="J54" i="10"/>
  <c r="J55" i="10" s="1"/>
  <c r="I54" i="10"/>
  <c r="H54" i="10"/>
  <c r="E54" i="10"/>
  <c r="F54" i="10" s="1"/>
  <c r="H53" i="10"/>
  <c r="I53" i="10" s="1"/>
  <c r="E53" i="10"/>
  <c r="G48" i="10"/>
  <c r="D48" i="10"/>
  <c r="J47" i="10"/>
  <c r="J48" i="10" s="1"/>
  <c r="H47" i="10"/>
  <c r="I47" i="10" s="1"/>
  <c r="E47" i="10"/>
  <c r="F47" i="10" s="1"/>
  <c r="H46" i="10"/>
  <c r="I46" i="10" s="1"/>
  <c r="E46" i="10"/>
  <c r="D41" i="10"/>
  <c r="J40" i="10"/>
  <c r="H40" i="10"/>
  <c r="I40" i="10" s="1"/>
  <c r="G40" i="10"/>
  <c r="G41" i="10" s="1"/>
  <c r="E40" i="10"/>
  <c r="F40" i="10" s="1"/>
  <c r="J39" i="10"/>
  <c r="H39" i="10"/>
  <c r="I39" i="10" s="1"/>
  <c r="E39" i="10"/>
  <c r="F39" i="10" s="1"/>
  <c r="J34" i="10"/>
  <c r="G34" i="10"/>
  <c r="D34" i="10"/>
  <c r="H33" i="10"/>
  <c r="I33" i="10" s="1"/>
  <c r="F33" i="10"/>
  <c r="E33" i="10"/>
  <c r="H32" i="10"/>
  <c r="I32" i="10" s="1"/>
  <c r="E32" i="10"/>
  <c r="F32" i="10" s="1"/>
  <c r="H31" i="10"/>
  <c r="I31" i="10" s="1"/>
  <c r="E31" i="10"/>
  <c r="F31" i="10" s="1"/>
  <c r="H30" i="10"/>
  <c r="I30" i="10" s="1"/>
  <c r="F30" i="10"/>
  <c r="E30" i="10"/>
  <c r="G27" i="10"/>
  <c r="D27" i="10"/>
  <c r="J26" i="10"/>
  <c r="H26" i="10"/>
  <c r="I26" i="10" s="1"/>
  <c r="E26" i="10"/>
  <c r="F26" i="10" s="1"/>
  <c r="J25" i="10"/>
  <c r="H25" i="10"/>
  <c r="I25" i="10" s="1"/>
  <c r="E25" i="10"/>
  <c r="F25" i="10" s="1"/>
  <c r="J24" i="10"/>
  <c r="H24" i="10"/>
  <c r="I24" i="10" s="1"/>
  <c r="F24" i="10"/>
  <c r="E24" i="10"/>
  <c r="J23" i="10"/>
  <c r="H23" i="10"/>
  <c r="I23" i="10" s="1"/>
  <c r="F23" i="10"/>
  <c r="E23" i="10"/>
  <c r="G20" i="10"/>
  <c r="D20" i="10"/>
  <c r="J19" i="10"/>
  <c r="H19" i="10"/>
  <c r="I19" i="10" s="1"/>
  <c r="E19" i="10"/>
  <c r="F19" i="10" s="1"/>
  <c r="J18" i="10"/>
  <c r="H18" i="10"/>
  <c r="I18" i="10" s="1"/>
  <c r="E18" i="10"/>
  <c r="F18" i="10" s="1"/>
  <c r="J17" i="10"/>
  <c r="H17" i="10"/>
  <c r="I17" i="10" s="1"/>
  <c r="F17" i="10"/>
  <c r="E17" i="10"/>
  <c r="J16" i="10"/>
  <c r="H16" i="10"/>
  <c r="I16" i="10" s="1"/>
  <c r="E16" i="10"/>
  <c r="F16" i="10" s="1"/>
  <c r="D12" i="10"/>
  <c r="H11" i="10"/>
  <c r="I11" i="10" s="1"/>
  <c r="G11" i="10"/>
  <c r="G12" i="10" s="1"/>
  <c r="E11" i="10"/>
  <c r="F11" i="10" s="1"/>
  <c r="J10" i="10"/>
  <c r="H10" i="10"/>
  <c r="I10" i="10" s="1"/>
  <c r="E10" i="10"/>
  <c r="J9" i="10"/>
  <c r="H9" i="10"/>
  <c r="I9" i="10" s="1"/>
  <c r="E9" i="10"/>
  <c r="F9" i="10" s="1"/>
  <c r="J8" i="10"/>
  <c r="H8" i="10"/>
  <c r="I8" i="10" s="1"/>
  <c r="E8" i="10"/>
  <c r="F8" i="10" s="1"/>
  <c r="H29" i="8"/>
  <c r="H28" i="8"/>
  <c r="H27" i="8"/>
  <c r="H26" i="8"/>
  <c r="I26" i="8" s="1"/>
  <c r="H93" i="8"/>
  <c r="I93" i="8" s="1"/>
  <c r="H92" i="8"/>
  <c r="I92" i="8" s="1"/>
  <c r="H91" i="8"/>
  <c r="I91" i="8" s="1"/>
  <c r="H90" i="8"/>
  <c r="I90" i="8" s="1"/>
  <c r="H86" i="8"/>
  <c r="I86" i="8" s="1"/>
  <c r="H85" i="8"/>
  <c r="I85" i="8" s="1"/>
  <c r="H84" i="8"/>
  <c r="I84" i="8" s="1"/>
  <c r="H83" i="8"/>
  <c r="I83" i="8" s="1"/>
  <c r="J79" i="8"/>
  <c r="H79" i="8"/>
  <c r="I79" i="8" s="1"/>
  <c r="H78" i="8"/>
  <c r="I78" i="8" s="1"/>
  <c r="H77" i="8"/>
  <c r="I77" i="8" s="1"/>
  <c r="H76" i="8"/>
  <c r="I76" i="8" s="1"/>
  <c r="J72" i="8"/>
  <c r="H72" i="8"/>
  <c r="I72" i="8" s="1"/>
  <c r="H71" i="8"/>
  <c r="I71" i="8" s="1"/>
  <c r="J65" i="8"/>
  <c r="H65" i="8"/>
  <c r="I65" i="8" s="1"/>
  <c r="H64" i="8"/>
  <c r="I64" i="8" s="1"/>
  <c r="H51" i="8"/>
  <c r="H50" i="8"/>
  <c r="H49" i="8"/>
  <c r="I49" i="8" s="1"/>
  <c r="H48" i="8"/>
  <c r="I48" i="8" s="1"/>
  <c r="H44" i="8"/>
  <c r="H43" i="8"/>
  <c r="H42" i="8"/>
  <c r="I42" i="8" s="1"/>
  <c r="H41" i="8"/>
  <c r="I41" i="8" s="1"/>
  <c r="I44" i="8"/>
  <c r="I43" i="8"/>
  <c r="J57" i="8"/>
  <c r="J58" i="8"/>
  <c r="H58" i="8"/>
  <c r="I58" i="8" s="1"/>
  <c r="H57" i="8"/>
  <c r="I57" i="8" s="1"/>
  <c r="I51" i="8"/>
  <c r="I50" i="8"/>
  <c r="J44" i="8"/>
  <c r="J42" i="8"/>
  <c r="J43" i="8"/>
  <c r="J41" i="8"/>
  <c r="J37" i="8"/>
  <c r="J36" i="8"/>
  <c r="J35" i="8"/>
  <c r="J34" i="8"/>
  <c r="H37" i="8"/>
  <c r="H36" i="8"/>
  <c r="I36" i="8" s="1"/>
  <c r="H35" i="8"/>
  <c r="I35" i="8" s="1"/>
  <c r="H34" i="8"/>
  <c r="I37" i="8"/>
  <c r="I34" i="8"/>
  <c r="I29" i="8"/>
  <c r="J29" i="8"/>
  <c r="J28" i="8"/>
  <c r="J27" i="8"/>
  <c r="J26" i="8"/>
  <c r="I28" i="8"/>
  <c r="I27" i="8"/>
  <c r="F48" i="8"/>
  <c r="E93" i="8"/>
  <c r="F93" i="8" s="1"/>
  <c r="E92" i="8"/>
  <c r="F92" i="8" s="1"/>
  <c r="E91" i="8"/>
  <c r="F91" i="8" s="1"/>
  <c r="E90" i="8"/>
  <c r="F90" i="8" s="1"/>
  <c r="E86" i="8"/>
  <c r="F86" i="8" s="1"/>
  <c r="E85" i="8"/>
  <c r="F85" i="8" s="1"/>
  <c r="E84" i="8"/>
  <c r="F84" i="8" s="1"/>
  <c r="E83" i="8"/>
  <c r="F83" i="8" s="1"/>
  <c r="D94" i="8"/>
  <c r="D87" i="8"/>
  <c r="J94" i="8"/>
  <c r="G94" i="8"/>
  <c r="J87" i="8"/>
  <c r="G87" i="8"/>
  <c r="E79" i="8"/>
  <c r="F79" i="8" s="1"/>
  <c r="E78" i="8"/>
  <c r="F78" i="8" s="1"/>
  <c r="E77" i="8"/>
  <c r="F77" i="8" s="1"/>
  <c r="E76" i="8"/>
  <c r="F76" i="8" s="1"/>
  <c r="E72" i="8"/>
  <c r="F72" i="8" s="1"/>
  <c r="E71" i="8"/>
  <c r="F71" i="8" s="1"/>
  <c r="E65" i="8"/>
  <c r="F65" i="8" s="1"/>
  <c r="E64" i="8"/>
  <c r="F64" i="8" s="1"/>
  <c r="E58" i="8"/>
  <c r="F58" i="8" s="1"/>
  <c r="E57" i="8"/>
  <c r="F57" i="8" s="1"/>
  <c r="E51" i="8"/>
  <c r="F51" i="8" s="1"/>
  <c r="E50" i="8"/>
  <c r="F50" i="8" s="1"/>
  <c r="E49" i="8"/>
  <c r="F49" i="8" s="1"/>
  <c r="E48" i="8"/>
  <c r="E44" i="8"/>
  <c r="F44" i="8" s="1"/>
  <c r="E43" i="8"/>
  <c r="F43" i="8" s="1"/>
  <c r="E42" i="8"/>
  <c r="F42" i="8" s="1"/>
  <c r="E41" i="8"/>
  <c r="F41" i="8" s="1"/>
  <c r="E37" i="8"/>
  <c r="F37" i="8" s="1"/>
  <c r="E36" i="8"/>
  <c r="F36" i="8" s="1"/>
  <c r="E35" i="8"/>
  <c r="F35" i="8" s="1"/>
  <c r="E34" i="8"/>
  <c r="F34" i="8" s="1"/>
  <c r="E29" i="8"/>
  <c r="F29" i="8" s="1"/>
  <c r="E28" i="8"/>
  <c r="F28" i="8" s="1"/>
  <c r="E27" i="8"/>
  <c r="F27" i="8" s="1"/>
  <c r="E26" i="8"/>
  <c r="F26" i="8" s="1"/>
  <c r="D80" i="8"/>
  <c r="D73" i="8"/>
  <c r="D66" i="8"/>
  <c r="D59" i="8"/>
  <c r="D52" i="8"/>
  <c r="D45" i="8"/>
  <c r="D38" i="8"/>
  <c r="D30" i="8"/>
  <c r="F27" i="10" l="1"/>
  <c r="E69" i="10"/>
  <c r="E76" i="10"/>
  <c r="J20" i="10"/>
  <c r="F62" i="10"/>
  <c r="E48" i="10"/>
  <c r="F46" i="10"/>
  <c r="E55" i="10"/>
  <c r="E20" i="10"/>
  <c r="E34" i="10"/>
  <c r="E62" i="10"/>
  <c r="F34" i="10"/>
  <c r="F69" i="10"/>
  <c r="F72" i="10"/>
  <c r="F76" i="10"/>
  <c r="J12" i="10"/>
  <c r="F20" i="10"/>
  <c r="J27" i="10"/>
  <c r="F53" i="10"/>
  <c r="E12" i="10"/>
  <c r="E27" i="10"/>
  <c r="E41" i="10"/>
  <c r="J41" i="10"/>
  <c r="F10" i="10"/>
  <c r="F12" i="10" s="1"/>
  <c r="F58" i="10"/>
  <c r="F45" i="8"/>
  <c r="F52" i="8"/>
  <c r="F80" i="8"/>
  <c r="F87" i="8"/>
  <c r="F94" i="8"/>
  <c r="E87" i="8"/>
  <c r="E94" i="8"/>
  <c r="J52" i="8"/>
  <c r="J38" i="8"/>
  <c r="E38" i="8"/>
  <c r="J80" i="8"/>
  <c r="G80" i="8"/>
  <c r="E80" i="8"/>
  <c r="G58" i="8"/>
  <c r="G59" i="8" s="1"/>
  <c r="J73" i="8"/>
  <c r="G73" i="8"/>
  <c r="E73" i="8"/>
  <c r="J66" i="8"/>
  <c r="G66" i="8"/>
  <c r="E66" i="8"/>
  <c r="J59" i="8"/>
  <c r="E59" i="8"/>
  <c r="G52" i="8"/>
  <c r="E52" i="8"/>
  <c r="J45" i="8"/>
  <c r="G45" i="8"/>
  <c r="E45" i="8"/>
  <c r="G38" i="8"/>
  <c r="F38" i="8"/>
  <c r="F30" i="8"/>
  <c r="G29" i="8"/>
  <c r="G30" i="8" s="1"/>
  <c r="E30" i="8" l="1"/>
  <c r="J30" i="8"/>
  <c r="F16" i="9" l="1"/>
  <c r="H68" i="9" s="1"/>
  <c r="F17" i="9"/>
  <c r="I68" i="9" s="1"/>
  <c r="G17" i="9"/>
  <c r="I69" i="9" s="1"/>
  <c r="H17" i="9"/>
  <c r="I70" i="9" s="1"/>
  <c r="I17" i="9"/>
  <c r="I71" i="9" s="1"/>
  <c r="J17" i="9"/>
  <c r="K17" i="9"/>
  <c r="L17" i="9"/>
  <c r="I74" i="9" s="1"/>
  <c r="N17" i="9"/>
  <c r="I76" i="9" s="1"/>
  <c r="O17" i="9"/>
  <c r="I77" i="9" s="1"/>
  <c r="D18" i="9"/>
  <c r="E18" i="9"/>
  <c r="J67" i="9" s="1"/>
  <c r="F18" i="9"/>
  <c r="J68" i="9" s="1"/>
  <c r="G18" i="9"/>
  <c r="J69" i="9" s="1"/>
  <c r="H18" i="9"/>
  <c r="I18" i="9"/>
  <c r="I22" i="9" s="1"/>
  <c r="I5" i="9" s="1"/>
  <c r="J18" i="9"/>
  <c r="J22" i="9" s="1"/>
  <c r="J5" i="9" s="1"/>
  <c r="K18" i="9"/>
  <c r="J73" i="9" s="1"/>
  <c r="L18" i="9"/>
  <c r="J74" i="9" s="1"/>
  <c r="M18" i="9"/>
  <c r="J75" i="9" s="1"/>
  <c r="N18" i="9"/>
  <c r="J76" i="9" s="1"/>
  <c r="O18" i="9"/>
  <c r="J77" i="9" s="1"/>
  <c r="O20" i="9"/>
  <c r="L77" i="9" s="1"/>
  <c r="E22" i="9"/>
  <c r="E5" i="9" s="1"/>
  <c r="O22" i="9"/>
  <c r="O5" i="9" s="1"/>
  <c r="D66" i="9"/>
  <c r="F66" i="9"/>
  <c r="K66" i="9"/>
  <c r="D67" i="9"/>
  <c r="F67" i="9"/>
  <c r="I67" i="9"/>
  <c r="K67" i="9"/>
  <c r="D68" i="9"/>
  <c r="F68" i="9"/>
  <c r="G68" i="9"/>
  <c r="K68" i="9"/>
  <c r="L68" i="9"/>
  <c r="D69" i="9"/>
  <c r="F69" i="9"/>
  <c r="K69" i="9"/>
  <c r="L69" i="9"/>
  <c r="D70" i="9"/>
  <c r="F70" i="9"/>
  <c r="K70" i="9"/>
  <c r="L70" i="9"/>
  <c r="D71" i="9"/>
  <c r="F71" i="9"/>
  <c r="G71" i="9"/>
  <c r="K71" i="9"/>
  <c r="L71" i="9"/>
  <c r="D72" i="9"/>
  <c r="F72" i="9"/>
  <c r="I72" i="9"/>
  <c r="K72" i="9"/>
  <c r="L72" i="9"/>
  <c r="D73" i="9"/>
  <c r="F73" i="9"/>
  <c r="G73" i="9"/>
  <c r="H73" i="9"/>
  <c r="K73" i="9"/>
  <c r="D74" i="9"/>
  <c r="F74" i="9"/>
  <c r="G74" i="9"/>
  <c r="K74" i="9"/>
  <c r="L74" i="9"/>
  <c r="D75" i="9"/>
  <c r="F75" i="9"/>
  <c r="G75" i="9"/>
  <c r="H75" i="9"/>
  <c r="K75" i="9"/>
  <c r="L75" i="9"/>
  <c r="D76" i="9"/>
  <c r="F76" i="9"/>
  <c r="K76" i="9"/>
  <c r="L76" i="9"/>
  <c r="D77" i="9"/>
  <c r="F77" i="9"/>
  <c r="G77" i="9"/>
  <c r="K77" i="9"/>
  <c r="E78" i="9"/>
  <c r="G85" i="9"/>
  <c r="G86" i="9"/>
  <c r="G87" i="9"/>
  <c r="G88" i="9"/>
  <c r="G89" i="9"/>
  <c r="G90" i="9"/>
  <c r="G91" i="9"/>
  <c r="G92" i="9"/>
  <c r="G93" i="9"/>
  <c r="G94" i="9"/>
  <c r="G95" i="9"/>
  <c r="G96" i="9"/>
  <c r="K78" i="9" l="1"/>
  <c r="M22" i="9"/>
  <c r="M5" i="9" s="1"/>
  <c r="M28" i="9" s="1"/>
  <c r="L22" i="9"/>
  <c r="L5" i="9" s="1"/>
  <c r="L7" i="9" s="1"/>
  <c r="L24" i="9" s="1"/>
  <c r="J71" i="9"/>
  <c r="E28" i="9"/>
  <c r="E7" i="9"/>
  <c r="E24" i="9" s="1"/>
  <c r="M7" i="9"/>
  <c r="M24" i="9" s="1"/>
  <c r="I7" i="9"/>
  <c r="I24" i="9" s="1"/>
  <c r="I28" i="9"/>
  <c r="H78" i="9"/>
  <c r="N22" i="9"/>
  <c r="N5" i="9" s="1"/>
  <c r="N28" i="9" s="1"/>
  <c r="M74" i="9"/>
  <c r="D57" i="9" s="1"/>
  <c r="J57" i="9" s="1"/>
  <c r="M69" i="9"/>
  <c r="D52" i="9" s="1"/>
  <c r="J52" i="9" s="1"/>
  <c r="G78" i="9"/>
  <c r="K22" i="9"/>
  <c r="K5" i="9" s="1"/>
  <c r="K7" i="9" s="1"/>
  <c r="K24" i="9" s="1"/>
  <c r="M75" i="9"/>
  <c r="D58" i="9" s="1"/>
  <c r="J58" i="9" s="1"/>
  <c r="J72" i="9"/>
  <c r="M72" i="9" s="1"/>
  <c r="D55" i="9" s="1"/>
  <c r="J55" i="9" s="1"/>
  <c r="M71" i="9"/>
  <c r="D54" i="9" s="1"/>
  <c r="J54" i="9" s="1"/>
  <c r="L78" i="9"/>
  <c r="K57" i="9"/>
  <c r="G14" i="8" s="1"/>
  <c r="O14" i="8" s="1"/>
  <c r="P14" i="8" s="1"/>
  <c r="E57" i="9"/>
  <c r="E58" i="9"/>
  <c r="E52" i="9"/>
  <c r="K52" i="9"/>
  <c r="G9" i="8" s="1"/>
  <c r="O9" i="8" s="1"/>
  <c r="P9" i="8" s="1"/>
  <c r="K28" i="9"/>
  <c r="J28" i="9"/>
  <c r="J7" i="9"/>
  <c r="J24" i="9" s="1"/>
  <c r="M76" i="9"/>
  <c r="D59" i="9" s="1"/>
  <c r="J59" i="9" s="1"/>
  <c r="E55" i="9"/>
  <c r="O7" i="9"/>
  <c r="O28" i="9"/>
  <c r="D78" i="9"/>
  <c r="M73" i="9"/>
  <c r="D56" i="9" s="1"/>
  <c r="J56" i="9" s="1"/>
  <c r="M68" i="9"/>
  <c r="D51" i="9" s="1"/>
  <c r="J51" i="9" s="1"/>
  <c r="H22" i="9"/>
  <c r="H5" i="9" s="1"/>
  <c r="J70" i="9"/>
  <c r="M70" i="9" s="1"/>
  <c r="D53" i="9" s="1"/>
  <c r="J53" i="9" s="1"/>
  <c r="D22" i="9"/>
  <c r="D5" i="9" s="1"/>
  <c r="J66" i="9"/>
  <c r="M77" i="9"/>
  <c r="D60" i="9" s="1"/>
  <c r="J60" i="9" s="1"/>
  <c r="F78" i="9"/>
  <c r="G22" i="9"/>
  <c r="G5" i="9" s="1"/>
  <c r="I73" i="9"/>
  <c r="I78" i="9" s="1"/>
  <c r="M67" i="9"/>
  <c r="D50" i="9" s="1"/>
  <c r="J50" i="9" s="1"/>
  <c r="F22" i="9"/>
  <c r="F5" i="9" s="1"/>
  <c r="E54" i="9" l="1"/>
  <c r="K55" i="9"/>
  <c r="G12" i="8" s="1"/>
  <c r="K58" i="9"/>
  <c r="G15" i="8" s="1"/>
  <c r="O15" i="8" s="1"/>
  <c r="P15" i="8" s="1"/>
  <c r="L28" i="9"/>
  <c r="K54" i="9"/>
  <c r="G11" i="8" s="1"/>
  <c r="N7" i="9"/>
  <c r="O11" i="8"/>
  <c r="P11" i="8" s="1"/>
  <c r="M11" i="8"/>
  <c r="N11" i="8" s="1"/>
  <c r="M9" i="8"/>
  <c r="N9" i="8" s="1"/>
  <c r="M14" i="8"/>
  <c r="N14" i="8" s="1"/>
  <c r="M15" i="8"/>
  <c r="N15" i="8" s="1"/>
  <c r="K53" i="9"/>
  <c r="G10" i="8" s="1"/>
  <c r="E53" i="9"/>
  <c r="G7" i="9"/>
  <c r="G24" i="9" s="1"/>
  <c r="G28" i="9"/>
  <c r="E51" i="9"/>
  <c r="K51" i="9"/>
  <c r="G8" i="8" s="1"/>
  <c r="G54" i="9"/>
  <c r="H54" i="9"/>
  <c r="F54" i="9"/>
  <c r="F52" i="9"/>
  <c r="G52" i="9"/>
  <c r="H52" i="9"/>
  <c r="K50" i="9"/>
  <c r="G7" i="8" s="1"/>
  <c r="E50" i="9"/>
  <c r="E60" i="9"/>
  <c r="K60" i="9"/>
  <c r="H7" i="9"/>
  <c r="H24" i="9" s="1"/>
  <c r="H28" i="9"/>
  <c r="H55" i="9"/>
  <c r="F55" i="9"/>
  <c r="G55" i="9"/>
  <c r="G58" i="9"/>
  <c r="H58" i="9"/>
  <c r="F58" i="9"/>
  <c r="F28" i="9"/>
  <c r="F7" i="9"/>
  <c r="F24" i="9" s="1"/>
  <c r="D7" i="9"/>
  <c r="D24" i="9" s="1"/>
  <c r="D28" i="9"/>
  <c r="E56" i="9"/>
  <c r="K56" i="9"/>
  <c r="G13" i="8" s="1"/>
  <c r="F57" i="9"/>
  <c r="G57" i="9"/>
  <c r="H57" i="9"/>
  <c r="J78" i="9"/>
  <c r="M66" i="9"/>
  <c r="E59" i="9"/>
  <c r="K59" i="9"/>
  <c r="G16" i="8" s="1"/>
  <c r="C6" i="8"/>
  <c r="E6" i="8"/>
  <c r="F6" i="8"/>
  <c r="T6" i="8"/>
  <c r="U6" i="8"/>
  <c r="C7" i="8"/>
  <c r="E7" i="8"/>
  <c r="F7" i="8"/>
  <c r="T7" i="8"/>
  <c r="U7" i="8"/>
  <c r="C8" i="8"/>
  <c r="E8" i="8"/>
  <c r="F8" i="8"/>
  <c r="T8" i="8"/>
  <c r="U8" i="8"/>
  <c r="C9" i="8"/>
  <c r="E9" i="8"/>
  <c r="J9" i="8" s="1"/>
  <c r="F9" i="8"/>
  <c r="T9" i="8"/>
  <c r="U9" i="8"/>
  <c r="C11" i="8"/>
  <c r="E11" i="8"/>
  <c r="J11" i="8" s="1"/>
  <c r="F11" i="8"/>
  <c r="T11" i="8"/>
  <c r="U11" i="8"/>
  <c r="C10" i="8"/>
  <c r="E10" i="8"/>
  <c r="F10" i="8"/>
  <c r="T10" i="8"/>
  <c r="U10" i="8"/>
  <c r="C12" i="8"/>
  <c r="E12" i="8"/>
  <c r="J12" i="8" s="1"/>
  <c r="F12" i="8"/>
  <c r="T12" i="8"/>
  <c r="U12" i="8"/>
  <c r="C13" i="8"/>
  <c r="E13" i="8"/>
  <c r="J13" i="8" s="1"/>
  <c r="F13" i="8"/>
  <c r="T13" i="8"/>
  <c r="U13" i="8"/>
  <c r="C14" i="8"/>
  <c r="E14" i="8"/>
  <c r="J14" i="8" s="1"/>
  <c r="F14" i="8"/>
  <c r="T14" i="8"/>
  <c r="U14" i="8"/>
  <c r="C15" i="8"/>
  <c r="E15" i="8"/>
  <c r="J15" i="8" s="1"/>
  <c r="F15" i="8"/>
  <c r="T15" i="8"/>
  <c r="U15" i="8"/>
  <c r="C16" i="8"/>
  <c r="E16" i="8"/>
  <c r="J16" i="8" s="1"/>
  <c r="F16" i="8"/>
  <c r="T16" i="8"/>
  <c r="U16" i="8"/>
  <c r="D9" i="7"/>
  <c r="J7" i="8" l="1"/>
  <c r="O12" i="8"/>
  <c r="P12" i="8" s="1"/>
  <c r="M12" i="8"/>
  <c r="N12" i="8" s="1"/>
  <c r="J10" i="8"/>
  <c r="O13" i="8"/>
  <c r="P13" i="8" s="1"/>
  <c r="M13" i="8"/>
  <c r="N13" i="8" s="1"/>
  <c r="O16" i="8"/>
  <c r="P16" i="8" s="1"/>
  <c r="M16" i="8"/>
  <c r="N16" i="8" s="1"/>
  <c r="O7" i="8"/>
  <c r="P7" i="8" s="1"/>
  <c r="M7" i="8"/>
  <c r="N7" i="8" s="1"/>
  <c r="M10" i="8"/>
  <c r="N10" i="8" s="1"/>
  <c r="O10" i="8"/>
  <c r="P10" i="8" s="1"/>
  <c r="J8" i="8"/>
  <c r="O8" i="8"/>
  <c r="P8" i="8" s="1"/>
  <c r="M8" i="8"/>
  <c r="N8" i="8" s="1"/>
  <c r="M78" i="9"/>
  <c r="D49" i="9"/>
  <c r="J49" i="9" s="1"/>
  <c r="F60" i="9"/>
  <c r="G60" i="9"/>
  <c r="H60" i="9"/>
  <c r="H51" i="9"/>
  <c r="F51" i="9"/>
  <c r="G51" i="9"/>
  <c r="F53" i="9"/>
  <c r="G53" i="9"/>
  <c r="H53" i="9"/>
  <c r="H59" i="9"/>
  <c r="F59" i="9"/>
  <c r="G59" i="9"/>
  <c r="F56" i="9"/>
  <c r="G56" i="9"/>
  <c r="H56" i="9"/>
  <c r="G50" i="9"/>
  <c r="H50" i="9"/>
  <c r="F50" i="9"/>
  <c r="D70" i="7"/>
  <c r="K70" i="7"/>
  <c r="J100" i="6"/>
  <c r="J99" i="6"/>
  <c r="G90" i="7"/>
  <c r="G91" i="7"/>
  <c r="G92" i="7"/>
  <c r="G93" i="7"/>
  <c r="G94" i="7"/>
  <c r="G95" i="7"/>
  <c r="G96" i="7"/>
  <c r="G97" i="7"/>
  <c r="G98" i="7"/>
  <c r="G99" i="7"/>
  <c r="G100" i="7"/>
  <c r="G89" i="7"/>
  <c r="N22" i="7"/>
  <c r="J22" i="7"/>
  <c r="P139" i="6"/>
  <c r="P138" i="6"/>
  <c r="K49" i="9" l="1"/>
  <c r="G6" i="8" s="1"/>
  <c r="E49" i="9"/>
  <c r="H49" i="9" s="1"/>
  <c r="L81" i="7"/>
  <c r="L80" i="7"/>
  <c r="L79" i="7"/>
  <c r="L78" i="7"/>
  <c r="L76" i="7"/>
  <c r="L75" i="7"/>
  <c r="L74" i="7"/>
  <c r="L73" i="7"/>
  <c r="L72" i="7"/>
  <c r="K81" i="7"/>
  <c r="K80" i="7"/>
  <c r="K79" i="7"/>
  <c r="K78" i="7"/>
  <c r="K77" i="7"/>
  <c r="K76" i="7"/>
  <c r="K75" i="7"/>
  <c r="K74" i="7"/>
  <c r="K73" i="7"/>
  <c r="K72" i="7"/>
  <c r="K71" i="7"/>
  <c r="J80" i="7"/>
  <c r="J76" i="7"/>
  <c r="I77" i="7"/>
  <c r="I75" i="7"/>
  <c r="I74" i="7"/>
  <c r="I71" i="7"/>
  <c r="H79" i="7"/>
  <c r="H77" i="7"/>
  <c r="G81" i="7"/>
  <c r="G79" i="7"/>
  <c r="G78" i="7"/>
  <c r="G77" i="7"/>
  <c r="G75" i="7"/>
  <c r="G72" i="7"/>
  <c r="F81" i="7"/>
  <c r="F80" i="7"/>
  <c r="F79" i="7"/>
  <c r="F78" i="7"/>
  <c r="F77" i="7"/>
  <c r="F76" i="7"/>
  <c r="F75" i="7"/>
  <c r="F74" i="7"/>
  <c r="F73" i="7"/>
  <c r="F72" i="7"/>
  <c r="F71" i="7"/>
  <c r="F70" i="7"/>
  <c r="E82" i="7"/>
  <c r="D81" i="7"/>
  <c r="D80" i="7"/>
  <c r="D79" i="7"/>
  <c r="D78" i="7"/>
  <c r="D77" i="7"/>
  <c r="D76" i="7"/>
  <c r="D75" i="7"/>
  <c r="D74" i="7"/>
  <c r="D73" i="7"/>
  <c r="D72" i="7"/>
  <c r="D71" i="7"/>
  <c r="O22" i="7"/>
  <c r="J81" i="7" s="1"/>
  <c r="O24" i="7"/>
  <c r="M22" i="7"/>
  <c r="M26" i="7" s="1"/>
  <c r="M9" i="7" s="1"/>
  <c r="L22" i="7"/>
  <c r="J78" i="7" s="1"/>
  <c r="K22" i="7"/>
  <c r="J77" i="7" s="1"/>
  <c r="I22" i="7"/>
  <c r="J75" i="7" s="1"/>
  <c r="H22" i="7"/>
  <c r="J74" i="7" s="1"/>
  <c r="G22" i="7"/>
  <c r="J73" i="7" s="1"/>
  <c r="F22" i="7"/>
  <c r="J72" i="7" s="1"/>
  <c r="E22" i="7"/>
  <c r="E26" i="7" s="1"/>
  <c r="E9" i="7" s="1"/>
  <c r="D22" i="7"/>
  <c r="D26" i="7" s="1"/>
  <c r="O21" i="7"/>
  <c r="O26" i="7" s="1"/>
  <c r="O9" i="7" s="1"/>
  <c r="N21" i="7"/>
  <c r="I80" i="7" s="1"/>
  <c r="L21" i="7"/>
  <c r="I78" i="7" s="1"/>
  <c r="K21" i="7"/>
  <c r="J21" i="7"/>
  <c r="I76" i="7" s="1"/>
  <c r="I21" i="7"/>
  <c r="H21" i="7"/>
  <c r="H26" i="7" s="1"/>
  <c r="H9" i="7" s="1"/>
  <c r="G21" i="7"/>
  <c r="I73" i="7" s="1"/>
  <c r="F21" i="7"/>
  <c r="I72" i="7" s="1"/>
  <c r="F20" i="7"/>
  <c r="H72" i="7" s="1"/>
  <c r="H152" i="6"/>
  <c r="H102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48" i="6" s="1"/>
  <c r="J149" i="6" s="1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I56" i="6"/>
  <c r="H56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7" i="6" s="1"/>
  <c r="J5" i="6"/>
  <c r="J56" i="6" s="1"/>
  <c r="J4" i="6"/>
  <c r="O6" i="8" l="1"/>
  <c r="P6" i="8" s="1"/>
  <c r="M6" i="8"/>
  <c r="N6" i="8" s="1"/>
  <c r="J6" i="8"/>
  <c r="F49" i="9"/>
  <c r="G49" i="9"/>
  <c r="M74" i="7"/>
  <c r="D57" i="7" s="1"/>
  <c r="E57" i="7" s="1"/>
  <c r="M77" i="7"/>
  <c r="D60" i="7" s="1"/>
  <c r="D82" i="7"/>
  <c r="M78" i="7"/>
  <c r="D61" i="7" s="1"/>
  <c r="M80" i="7"/>
  <c r="D63" i="7" s="1"/>
  <c r="M73" i="7"/>
  <c r="D56" i="7" s="1"/>
  <c r="M81" i="7"/>
  <c r="D64" i="7" s="1"/>
  <c r="E64" i="7" s="1"/>
  <c r="M75" i="7"/>
  <c r="D58" i="7" s="1"/>
  <c r="M72" i="7"/>
  <c r="D55" i="7" s="1"/>
  <c r="J71" i="7"/>
  <c r="M71" i="7" s="1"/>
  <c r="J79" i="7"/>
  <c r="M79" i="7" s="1"/>
  <c r="D62" i="7" s="1"/>
  <c r="E62" i="7" s="1"/>
  <c r="I81" i="7"/>
  <c r="J70" i="7"/>
  <c r="M70" i="7" s="1"/>
  <c r="D53" i="7" s="1"/>
  <c r="E53" i="7" s="1"/>
  <c r="M76" i="7"/>
  <c r="D59" i="7" s="1"/>
  <c r="L82" i="7"/>
  <c r="K82" i="7"/>
  <c r="I82" i="7"/>
  <c r="H82" i="7"/>
  <c r="G82" i="7"/>
  <c r="F82" i="7"/>
  <c r="K26" i="7"/>
  <c r="J26" i="7"/>
  <c r="J9" i="7" s="1"/>
  <c r="L26" i="7"/>
  <c r="L9" i="7" s="1"/>
  <c r="I26" i="7"/>
  <c r="I9" i="7" s="1"/>
  <c r="F26" i="7"/>
  <c r="N26" i="7"/>
  <c r="N9" i="7" s="1"/>
  <c r="G26" i="7"/>
  <c r="G62" i="7" l="1"/>
  <c r="F62" i="7"/>
  <c r="H62" i="7"/>
  <c r="D54" i="7"/>
  <c r="E54" i="7" s="1"/>
  <c r="M82" i="7"/>
  <c r="H64" i="7"/>
  <c r="G64" i="7"/>
  <c r="F64" i="7"/>
  <c r="H53" i="7"/>
  <c r="G53" i="7"/>
  <c r="F53" i="7"/>
  <c r="G57" i="7"/>
  <c r="H57" i="7"/>
  <c r="F57" i="7"/>
  <c r="E60" i="7"/>
  <c r="K9" i="7"/>
  <c r="K32" i="7" s="1"/>
  <c r="E55" i="7"/>
  <c r="F9" i="7"/>
  <c r="F32" i="7" s="1"/>
  <c r="J82" i="7"/>
  <c r="E56" i="7"/>
  <c r="G9" i="7"/>
  <c r="G11" i="7" s="1"/>
  <c r="G28" i="7" s="1"/>
  <c r="E61" i="7"/>
  <c r="E59" i="7"/>
  <c r="J32" i="7"/>
  <c r="I11" i="7"/>
  <c r="I28" i="7" s="1"/>
  <c r="L32" i="7"/>
  <c r="E58" i="7"/>
  <c r="E63" i="7"/>
  <c r="E11" i="7"/>
  <c r="E28" i="7" s="1"/>
  <c r="E32" i="7"/>
  <c r="D11" i="7"/>
  <c r="D28" i="7" s="1"/>
  <c r="D32" i="7"/>
  <c r="M11" i="7"/>
  <c r="M28" i="7" s="1"/>
  <c r="M32" i="7"/>
  <c r="O11" i="7"/>
  <c r="O32" i="7"/>
  <c r="N11" i="7"/>
  <c r="N32" i="7"/>
  <c r="L11" i="7"/>
  <c r="L28" i="7" s="1"/>
  <c r="H32" i="7"/>
  <c r="H11" i="7"/>
  <c r="H28" i="7" s="1"/>
  <c r="K11" i="7" l="1"/>
  <c r="K28" i="7" s="1"/>
  <c r="G58" i="7"/>
  <c r="H58" i="7"/>
  <c r="F58" i="7"/>
  <c r="H54" i="7"/>
  <c r="G54" i="7"/>
  <c r="F54" i="7"/>
  <c r="F60" i="7"/>
  <c r="G60" i="7"/>
  <c r="H60" i="7"/>
  <c r="H56" i="7"/>
  <c r="G56" i="7"/>
  <c r="F56" i="7"/>
  <c r="G61" i="7"/>
  <c r="F61" i="7"/>
  <c r="H61" i="7"/>
  <c r="F55" i="7"/>
  <c r="H55" i="7"/>
  <c r="G55" i="7"/>
  <c r="F63" i="7"/>
  <c r="H63" i="7"/>
  <c r="G63" i="7"/>
  <c r="G59" i="7"/>
  <c r="H59" i="7"/>
  <c r="F59" i="7"/>
  <c r="J11" i="7"/>
  <c r="J28" i="7" s="1"/>
  <c r="I32" i="7"/>
  <c r="G32" i="7"/>
  <c r="F11" i="7"/>
  <c r="F2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Mira</author>
  </authors>
  <commentList>
    <comment ref="D39" authorId="0" shapeId="0" xr:uid="{11F9379F-796B-48A0-8AF2-A0943E5DB395}">
      <text>
        <r>
          <rPr>
            <b/>
            <sz val="9"/>
            <color indexed="81"/>
            <rFont val="Tahoma"/>
            <family val="2"/>
          </rPr>
          <t>Mira:</t>
        </r>
        <r>
          <rPr>
            <sz val="9"/>
            <color indexed="81"/>
            <rFont val="Tahoma"/>
            <family val="2"/>
          </rPr>
          <t xml:space="preserve">
op-16.03.26
</t>
        </r>
      </text>
    </comment>
    <comment ref="D46" authorId="0" shapeId="0" xr:uid="{4505CC76-52A0-434B-9916-3BC74C4741E0}">
      <text>
        <r>
          <rPr>
            <b/>
            <sz val="9"/>
            <color indexed="81"/>
            <rFont val="Tahoma"/>
            <family val="2"/>
          </rPr>
          <t>Mira:</t>
        </r>
        <r>
          <rPr>
            <sz val="9"/>
            <color indexed="81"/>
            <rFont val="Tahoma"/>
            <family val="2"/>
          </rPr>
          <t xml:space="preserve">
Op-07.03.26</t>
        </r>
      </text>
    </comment>
    <comment ref="D53" authorId="0" shapeId="0" xr:uid="{2674FDB8-7DCE-4548-8FD8-352E14A0880B}">
      <text>
        <r>
          <rPr>
            <b/>
            <sz val="9"/>
            <color indexed="81"/>
            <rFont val="Tahoma"/>
            <family val="2"/>
          </rPr>
          <t>Mira:</t>
        </r>
        <r>
          <rPr>
            <sz val="9"/>
            <color indexed="81"/>
            <rFont val="Tahoma"/>
            <family val="2"/>
          </rPr>
          <t xml:space="preserve">
op-13.03.26
</t>
        </r>
      </text>
    </comment>
    <comment ref="D58" authorId="0" shapeId="0" xr:uid="{72901353-7842-4CDA-BCEB-114EFEEABE8B}">
      <text>
        <r>
          <rPr>
            <b/>
            <sz val="9"/>
            <color indexed="81"/>
            <rFont val="Tahoma"/>
            <family val="2"/>
          </rPr>
          <t>Mira:</t>
        </r>
        <r>
          <rPr>
            <sz val="9"/>
            <color indexed="81"/>
            <rFont val="Tahoma"/>
            <family val="2"/>
          </rPr>
          <t xml:space="preserve">
op-22.01.26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Mira</author>
  </authors>
  <commentList>
    <comment ref="D57" authorId="0" shapeId="0" xr:uid="{0E9BDC34-CA8A-445C-8286-FD71E4FA48C0}">
      <text>
        <r>
          <rPr>
            <b/>
            <sz val="9"/>
            <color indexed="81"/>
            <rFont val="Tahoma"/>
            <family val="2"/>
          </rPr>
          <t>Mira:</t>
        </r>
        <r>
          <rPr>
            <sz val="9"/>
            <color indexed="81"/>
            <rFont val="Tahoma"/>
            <family val="2"/>
          </rPr>
          <t xml:space="preserve">
op-16.03.26
</t>
        </r>
      </text>
    </comment>
    <comment ref="D64" authorId="0" shapeId="0" xr:uid="{6F77541C-8D16-4CA9-B5E6-8C0E52665FBF}">
      <text>
        <r>
          <rPr>
            <b/>
            <sz val="9"/>
            <color indexed="81"/>
            <rFont val="Tahoma"/>
            <family val="2"/>
          </rPr>
          <t>Mira:</t>
        </r>
        <r>
          <rPr>
            <sz val="9"/>
            <color indexed="81"/>
            <rFont val="Tahoma"/>
            <family val="2"/>
          </rPr>
          <t xml:space="preserve">
Op-07.03.26</t>
        </r>
      </text>
    </comment>
    <comment ref="D71" authorId="0" shapeId="0" xr:uid="{079EBABD-D675-46E9-A99F-E6DF7BB59725}">
      <text>
        <r>
          <rPr>
            <b/>
            <sz val="9"/>
            <color indexed="81"/>
            <rFont val="Tahoma"/>
            <family val="2"/>
          </rPr>
          <t>Mira:</t>
        </r>
        <r>
          <rPr>
            <sz val="9"/>
            <color indexed="81"/>
            <rFont val="Tahoma"/>
            <family val="2"/>
          </rPr>
          <t xml:space="preserve">
op-13.03.26
</t>
        </r>
      </text>
    </comment>
    <comment ref="D76" authorId="0" shapeId="0" xr:uid="{175FAC3F-932F-4692-A7DE-48065E9549F6}">
      <text>
        <r>
          <rPr>
            <b/>
            <sz val="9"/>
            <color indexed="81"/>
            <rFont val="Tahoma"/>
            <family val="2"/>
          </rPr>
          <t>Mira:</t>
        </r>
        <r>
          <rPr>
            <sz val="9"/>
            <color indexed="81"/>
            <rFont val="Tahoma"/>
            <family val="2"/>
          </rPr>
          <t xml:space="preserve">
op-22.01.26
</t>
        </r>
      </text>
    </comment>
  </commentList>
</comments>
</file>

<file path=xl/sharedStrings.xml><?xml version="1.0" encoding="utf-8"?>
<sst xmlns="http://schemas.openxmlformats.org/spreadsheetml/2006/main" count="990" uniqueCount="248">
  <si>
    <t>Salary &amp; Allowances</t>
  </si>
  <si>
    <t>Rent</t>
  </si>
  <si>
    <t>Electricity</t>
  </si>
  <si>
    <t>Maintenance</t>
  </si>
  <si>
    <t>Cost of Fund</t>
  </si>
  <si>
    <t>Particulars</t>
  </si>
  <si>
    <t>Vat on Rent</t>
  </si>
  <si>
    <t>Gross Profit</t>
  </si>
  <si>
    <t>ASSURANCE FARM OPC</t>
  </si>
  <si>
    <t>Proposed Break even Sales Statement</t>
  </si>
  <si>
    <t>Banani</t>
  </si>
  <si>
    <t>Lalmatia</t>
  </si>
  <si>
    <t>Nurjahan Road</t>
  </si>
  <si>
    <t>Benaroshi Polli</t>
  </si>
  <si>
    <t>Fakirapul</t>
  </si>
  <si>
    <t>Mirpur DOHS</t>
  </si>
  <si>
    <t>Kazipara</t>
  </si>
  <si>
    <t>Mirpur-6</t>
  </si>
  <si>
    <t>Banani DOHS</t>
  </si>
  <si>
    <t>Nikunja 01</t>
  </si>
  <si>
    <t>Break even Sales per Month</t>
  </si>
  <si>
    <t>Considering Average GP %</t>
  </si>
  <si>
    <t>Proposed Cost per Month</t>
  </si>
  <si>
    <t>Service Charge</t>
  </si>
  <si>
    <t>Wasa</t>
  </si>
  <si>
    <t>AIT On Rent</t>
  </si>
  <si>
    <t>Depreciation (not considered)</t>
  </si>
  <si>
    <t>Total Proposed Cost</t>
  </si>
  <si>
    <t xml:space="preserve">Profit/ (Loss) </t>
  </si>
  <si>
    <t>Break even Sales per Day</t>
  </si>
  <si>
    <t>Present Sales target/day</t>
  </si>
  <si>
    <t>Proposed  Sales target/day</t>
  </si>
  <si>
    <t>Incharge/Barista</t>
  </si>
  <si>
    <t>Surver/Outlet Asstt</t>
  </si>
  <si>
    <t>Average Salary &amp; Allowances:</t>
  </si>
  <si>
    <t xml:space="preserve">Required daily Sales </t>
  </si>
  <si>
    <t>Name of Outlet</t>
  </si>
  <si>
    <t>Nikunja (Asian Tower)</t>
  </si>
  <si>
    <t>Based on average GP</t>
  </si>
  <si>
    <t>Average monthly sale( based on last 6 month)</t>
  </si>
  <si>
    <t>Average daily sale( based on last 6 month)</t>
  </si>
  <si>
    <t>Zakir Hossain Road</t>
  </si>
  <si>
    <t>Participant list</t>
  </si>
  <si>
    <t>SL</t>
  </si>
  <si>
    <t>Name</t>
  </si>
  <si>
    <t>ID</t>
  </si>
  <si>
    <t>Designation</t>
  </si>
  <si>
    <t>D.O.J</t>
  </si>
  <si>
    <t>Phone</t>
  </si>
  <si>
    <t>Salary Amount</t>
  </si>
  <si>
    <t>Allowances</t>
  </si>
  <si>
    <t>Total Amount</t>
  </si>
  <si>
    <t>Jahidul Islam</t>
  </si>
  <si>
    <t xml:space="preserve">Incharge cum Barista </t>
  </si>
  <si>
    <t>25.06.25/05.02.26</t>
  </si>
  <si>
    <t xml:space="preserve">Md. Sahadat Hossain </t>
  </si>
  <si>
    <t>14.12.25</t>
  </si>
  <si>
    <t xml:space="preserve">Rakibul Islam </t>
  </si>
  <si>
    <t>Sales Executive</t>
  </si>
  <si>
    <t>15.11.25</t>
  </si>
  <si>
    <t xml:space="preserve">Anita Mrong </t>
  </si>
  <si>
    <t>Outlet Asstt</t>
  </si>
  <si>
    <t>05.11.25</t>
  </si>
  <si>
    <t xml:space="preserve">Laskmi </t>
  </si>
  <si>
    <t>Outlet Asstt.</t>
  </si>
  <si>
    <t>08.11.25</t>
  </si>
  <si>
    <t xml:space="preserve">Redwan Masud </t>
  </si>
  <si>
    <t>In- Charge</t>
  </si>
  <si>
    <t>01.07.25</t>
  </si>
  <si>
    <t>Md.Isbat Zaman Tawsif</t>
  </si>
  <si>
    <t>Barista</t>
  </si>
  <si>
    <t>01.01.26</t>
  </si>
  <si>
    <t>Md. Nazmul Hossain Nahid</t>
  </si>
  <si>
    <t>23.06.25</t>
  </si>
  <si>
    <t>Md. Shuvon Ahmed</t>
  </si>
  <si>
    <t>20.12.25</t>
  </si>
  <si>
    <t>Md. Ronju Ahmed</t>
  </si>
  <si>
    <t>25.06.25</t>
  </si>
  <si>
    <t xml:space="preserve">Razib Khan </t>
  </si>
  <si>
    <t>Jr. Barista</t>
  </si>
  <si>
    <t>09.04.25</t>
  </si>
  <si>
    <t>Somapty Nokrek</t>
  </si>
  <si>
    <t>Outlet Assistant</t>
  </si>
  <si>
    <t>24.01.26</t>
  </si>
  <si>
    <t>MD Rihad</t>
  </si>
  <si>
    <t xml:space="preserve"> Barista</t>
  </si>
  <si>
    <t>12.11.25</t>
  </si>
  <si>
    <t>Md. Abdullah</t>
  </si>
  <si>
    <t>Sales executive</t>
  </si>
  <si>
    <t>29.11.25</t>
  </si>
  <si>
    <t xml:space="preserve">Stifen Chakma </t>
  </si>
  <si>
    <t>15.02.26</t>
  </si>
  <si>
    <t>Ferdous Ahmed</t>
  </si>
  <si>
    <t>14.06.25</t>
  </si>
  <si>
    <t xml:space="preserve">Md. Sakil </t>
  </si>
  <si>
    <t>16.11.25</t>
  </si>
  <si>
    <t>Md. Faysal Mia</t>
  </si>
  <si>
    <t>01.08.24</t>
  </si>
  <si>
    <t>Md. Rakib</t>
  </si>
  <si>
    <t xml:space="preserve">Barista </t>
  </si>
  <si>
    <t>01.12.25</t>
  </si>
  <si>
    <t>Md.Sohan Parvez Swadin</t>
  </si>
  <si>
    <t>27.12.25</t>
  </si>
  <si>
    <t>Samiur Rahman Sami</t>
  </si>
  <si>
    <t>15.02.25</t>
  </si>
  <si>
    <t>20.12.22</t>
  </si>
  <si>
    <t>Md. Jahirul Islam</t>
  </si>
  <si>
    <t>15.05.25</t>
  </si>
  <si>
    <t>Pranto Arko</t>
  </si>
  <si>
    <t>Md.Mazharul Islam Rakib</t>
  </si>
  <si>
    <t>26.01.26</t>
  </si>
  <si>
    <t>Tahidul Islam Bappy</t>
  </si>
  <si>
    <t>10.11.26</t>
  </si>
  <si>
    <t xml:space="preserve">Eakub Ali Shanto </t>
  </si>
  <si>
    <t xml:space="preserve">Mohammed Sazib </t>
  </si>
  <si>
    <t xml:space="preserve">Refakur Reza </t>
  </si>
  <si>
    <t>20.01.26</t>
  </si>
  <si>
    <t>Md. Waricho Ahmed</t>
  </si>
  <si>
    <t>25.11.25</t>
  </si>
  <si>
    <t>Sazidul Islam Sazid</t>
  </si>
  <si>
    <t>18.02.26</t>
  </si>
  <si>
    <t xml:space="preserve">Shamim Sheikh </t>
  </si>
  <si>
    <t xml:space="preserve">Jewel Rana </t>
  </si>
  <si>
    <t>01.02.26</t>
  </si>
  <si>
    <t>Syed Sabil Ahmed Hashmi</t>
  </si>
  <si>
    <t xml:space="preserve">Emon babu </t>
  </si>
  <si>
    <t>07.08.23</t>
  </si>
  <si>
    <t xml:space="preserve">Asif Mahmud </t>
  </si>
  <si>
    <t>29.10.25</t>
  </si>
  <si>
    <t xml:space="preserve">Md. Hridoy Talukder </t>
  </si>
  <si>
    <t>02.09.24</t>
  </si>
  <si>
    <t xml:space="preserve">Tanjil Jahan Mim  </t>
  </si>
  <si>
    <t>Likhon Sarkar Dip</t>
  </si>
  <si>
    <t>Purnima Chakma</t>
  </si>
  <si>
    <t>Ramin Ahmed</t>
  </si>
  <si>
    <t>28.02.26</t>
  </si>
  <si>
    <t>Md.Mahibullah Siam</t>
  </si>
  <si>
    <t xml:space="preserve"> Sales Executive </t>
  </si>
  <si>
    <t>Babilon Chakma</t>
  </si>
  <si>
    <t>Sano Mong Marma</t>
  </si>
  <si>
    <t>Outlet In Charge</t>
  </si>
  <si>
    <t>01.03.26</t>
  </si>
  <si>
    <t>Bishagit Baidya Raj</t>
  </si>
  <si>
    <t>Bakery Chef</t>
  </si>
  <si>
    <t>Xavier Gomes</t>
  </si>
  <si>
    <t>Kitchen Helper</t>
  </si>
  <si>
    <t>Mohammad Hasan Ahmmod</t>
  </si>
  <si>
    <t>Commis 2</t>
  </si>
  <si>
    <t>Md. Reyad Akhon</t>
  </si>
  <si>
    <t>Raeduggaman</t>
  </si>
  <si>
    <t>Assistant Chef</t>
  </si>
  <si>
    <t>Incharge</t>
  </si>
  <si>
    <t>Taiyabur Rahman Taiyab</t>
  </si>
  <si>
    <t>26.04.26</t>
  </si>
  <si>
    <t>Md. Emon Hossain</t>
  </si>
  <si>
    <t>11.04.26</t>
  </si>
  <si>
    <t>Md. Ratul Talukder</t>
  </si>
  <si>
    <t>01.04.26</t>
  </si>
  <si>
    <t>Francis Tonnoy Costa</t>
  </si>
  <si>
    <t>Salary &amp; Allowance  (Total )</t>
  </si>
  <si>
    <t>Salary &amp; Allowance (Avg.)</t>
  </si>
  <si>
    <t>Sales Executive / Outlet Assistant</t>
  </si>
  <si>
    <t>Md. Yefas Mia</t>
  </si>
  <si>
    <t>27.04.26</t>
  </si>
  <si>
    <t xml:space="preserve">Md. Din Islam </t>
  </si>
  <si>
    <t>22.04.26</t>
  </si>
  <si>
    <t>Md. Sajid Hosen</t>
  </si>
  <si>
    <t>13.04.26</t>
  </si>
  <si>
    <t>Dristi Chakma</t>
  </si>
  <si>
    <t>28.04.26</t>
  </si>
  <si>
    <t>Md. Sumon</t>
  </si>
  <si>
    <t>23.04.26</t>
  </si>
  <si>
    <t>Md. Shohel Rana</t>
  </si>
  <si>
    <t>16.04.26</t>
  </si>
  <si>
    <t>Yeasin Arafat</t>
  </si>
  <si>
    <t>Monalisha Chakma</t>
  </si>
  <si>
    <t>Md. Moneruzzaman</t>
  </si>
  <si>
    <t>Sabbir Ahammad Limon</t>
  </si>
  <si>
    <t>Mahbub Anik Shanto</t>
  </si>
  <si>
    <t>Md. Niamul Kobir Mithu</t>
  </si>
  <si>
    <t>18.04.26</t>
  </si>
  <si>
    <t xml:space="preserve"> </t>
  </si>
  <si>
    <t>Total Salary &amp; Allowance (Avg.)</t>
  </si>
  <si>
    <t>Average Cost</t>
  </si>
  <si>
    <t>Per Month</t>
  </si>
  <si>
    <t>Per Day</t>
  </si>
  <si>
    <t>Sales Target / day</t>
  </si>
  <si>
    <t>Sales amount against Net Profit</t>
  </si>
  <si>
    <t>Shift</t>
  </si>
  <si>
    <t>2</t>
  </si>
  <si>
    <t>1</t>
  </si>
  <si>
    <t>Breakeven Sales/day (avg. GP-28%)</t>
  </si>
  <si>
    <t>WASA</t>
  </si>
  <si>
    <t>AIT on Rent</t>
  </si>
  <si>
    <t>Total</t>
  </si>
  <si>
    <t>Monthly Cost details (average)</t>
  </si>
  <si>
    <t>Shift (no)</t>
  </si>
  <si>
    <t>Barista / Incharge (no)</t>
  </si>
  <si>
    <t>02</t>
  </si>
  <si>
    <t>01</t>
  </si>
  <si>
    <t>04</t>
  </si>
  <si>
    <t>06</t>
  </si>
  <si>
    <t>03</t>
  </si>
  <si>
    <t>Surver / Outlet Asstt (no)</t>
  </si>
  <si>
    <t>Total Man power</t>
  </si>
  <si>
    <t>Target</t>
  </si>
  <si>
    <t>Average monthly Sale</t>
  </si>
  <si>
    <t>Day</t>
  </si>
  <si>
    <t>Months</t>
  </si>
  <si>
    <t>Average Daily Sale</t>
  </si>
  <si>
    <t>6 Months Sales</t>
  </si>
  <si>
    <t>Outlets Name</t>
  </si>
  <si>
    <t>To Date</t>
  </si>
  <si>
    <t>From Date</t>
  </si>
  <si>
    <t xml:space="preserve">AFC  Six months sales report  </t>
  </si>
  <si>
    <t>% of target reached</t>
  </si>
  <si>
    <t>sales volume 50% of target reached</t>
  </si>
  <si>
    <t>Sales Achievement</t>
  </si>
  <si>
    <t>Incentive multiplier</t>
  </si>
  <si>
    <t>monthly target considering 5% net profit</t>
  </si>
  <si>
    <t>monthly target considering 10% net profit</t>
  </si>
  <si>
    <t>Jan</t>
  </si>
  <si>
    <t>Feb</t>
  </si>
  <si>
    <t>Mar</t>
  </si>
  <si>
    <t>Apr</t>
  </si>
  <si>
    <t>Month</t>
  </si>
  <si>
    <t xml:space="preserve"> Prev Incentive</t>
  </si>
  <si>
    <t>New 5% NP</t>
  </si>
  <si>
    <t>Target achieved in %</t>
  </si>
  <si>
    <t>Actual Sales monthly</t>
  </si>
  <si>
    <t>Target monthly</t>
  </si>
  <si>
    <t>Asian Tower</t>
  </si>
  <si>
    <t>Totals</t>
  </si>
  <si>
    <t>Fakirapool</t>
  </si>
  <si>
    <t>Mirpur 06</t>
  </si>
  <si>
    <t>Target Achieved</t>
  </si>
  <si>
    <t>Noor Jahan Road</t>
  </si>
  <si>
    <t>50%-59</t>
  </si>
  <si>
    <t>60%-69</t>
  </si>
  <si>
    <t>70%-79</t>
  </si>
  <si>
    <t>80%-89</t>
  </si>
  <si>
    <t>90%-99</t>
  </si>
  <si>
    <t>100%-109</t>
  </si>
  <si>
    <t>110%-119</t>
  </si>
  <si>
    <t>120%+</t>
  </si>
  <si>
    <t>Days</t>
  </si>
  <si>
    <t>H</t>
  </si>
  <si>
    <t>Per Person incentive.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</si>
</sst>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_-* #,##0_-;\-* #,##0_-;_-* &quot;-&quot;?_-;_-@_-"/>
    <numFmt numFmtId="168" formatCode="_-* #,##0.0_-;\-* #,##0.0_-;_-* &quot;-&quot;??_-;_-@_-"/>
    <numFmt numFmtId="169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3366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366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  <font>
      <sz val="11"/>
      <color rgb="FF242424"/>
      <name val="Aptos Narrow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4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4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349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5" fontId="6" fillId="0" borderId="16" xfId="1" applyNumberFormat="1" applyFont="1" applyBorder="1" applyAlignment="1">
      <alignment vertical="center"/>
    </xf>
    <xf numFmtId="165" fontId="6" fillId="0" borderId="13" xfId="1" applyNumberFormat="1" applyFont="1" applyBorder="1" applyAlignment="1">
      <alignment vertical="center"/>
    </xf>
    <xf numFmtId="165" fontId="2" fillId="0" borderId="0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7" xfId="0" applyFont="1" applyBorder="1" applyAlignment="1">
      <alignment horizontal="center" vertical="center"/>
    </xf>
    <xf numFmtId="165" fontId="2" fillId="0" borderId="18" xfId="1" applyNumberFormat="1" applyFont="1" applyBorder="1" applyAlignment="1">
      <alignment horizontal="center" vertical="center"/>
    </xf>
    <xf numFmtId="10" fontId="2" fillId="0" borderId="19" xfId="2" applyNumberFormat="1" applyFont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0" borderId="20" xfId="0" applyBorder="1" applyAlignment="1">
      <alignment vertical="center" wrapText="1"/>
    </xf>
    <xf numFmtId="0" fontId="0" fillId="0" borderId="0" xfId="0" applyAlignment="1">
      <alignment vertical="center" wrapText="1"/>
    </xf>
    <xf numFmtId="165" fontId="8" fillId="0" borderId="21" xfId="1" applyNumberFormat="1" applyFont="1" applyBorder="1" applyAlignment="1">
      <alignment vertical="center"/>
    </xf>
    <xf numFmtId="165" fontId="8" fillId="0" borderId="22" xfId="1" applyNumberFormat="1" applyFont="1" applyBorder="1" applyAlignment="1">
      <alignment vertical="center"/>
    </xf>
    <xf numFmtId="165" fontId="9" fillId="0" borderId="22" xfId="1" applyNumberFormat="1" applyFont="1" applyBorder="1" applyAlignment="1">
      <alignment vertical="center"/>
    </xf>
    <xf numFmtId="165" fontId="8" fillId="0" borderId="23" xfId="1" applyNumberFormat="1" applyFont="1" applyBorder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24" xfId="0" applyBorder="1" applyAlignment="1">
      <alignment vertical="center" wrapText="1"/>
    </xf>
    <xf numFmtId="165" fontId="8" fillId="0" borderId="7" xfId="1" applyNumberFormat="1" applyFont="1" applyBorder="1" applyAlignment="1">
      <alignment vertical="center"/>
    </xf>
    <xf numFmtId="165" fontId="8" fillId="0" borderId="8" xfId="1" applyNumberFormat="1" applyFont="1" applyBorder="1" applyAlignment="1">
      <alignment vertical="center"/>
    </xf>
    <xf numFmtId="165" fontId="8" fillId="0" borderId="25" xfId="1" applyNumberFormat="1" applyFont="1" applyBorder="1" applyAlignment="1">
      <alignment vertical="center"/>
    </xf>
    <xf numFmtId="0" fontId="0" fillId="0" borderId="24" xfId="0" applyBorder="1" applyAlignment="1">
      <alignment vertical="center"/>
    </xf>
    <xf numFmtId="165" fontId="1" fillId="0" borderId="7" xfId="1" applyNumberFormat="1" applyFont="1" applyBorder="1" applyAlignment="1">
      <alignment vertical="center"/>
    </xf>
    <xf numFmtId="0" fontId="0" fillId="0" borderId="26" xfId="0" applyBorder="1" applyAlignment="1">
      <alignment vertical="center" wrapText="1"/>
    </xf>
    <xf numFmtId="165" fontId="8" fillId="0" borderId="27" xfId="1" applyNumberFormat="1" applyFont="1" applyBorder="1" applyAlignment="1">
      <alignment vertical="center"/>
    </xf>
    <xf numFmtId="165" fontId="8" fillId="0" borderId="28" xfId="1" applyNumberFormat="1" applyFont="1" applyBorder="1" applyAlignment="1">
      <alignment vertical="center"/>
    </xf>
    <xf numFmtId="0" fontId="0" fillId="0" borderId="29" xfId="0" applyBorder="1" applyAlignment="1">
      <alignment vertical="center"/>
    </xf>
    <xf numFmtId="165" fontId="8" fillId="0" borderId="30" xfId="1" applyNumberFormat="1" applyFont="1" applyBorder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165" fontId="2" fillId="5" borderId="31" xfId="0" applyNumberFormat="1" applyFont="1" applyFill="1" applyBorder="1" applyAlignment="1">
      <alignment vertical="center"/>
    </xf>
    <xf numFmtId="165" fontId="2" fillId="5" borderId="32" xfId="0" applyNumberFormat="1" applyFont="1" applyFill="1" applyBorder="1" applyAlignment="1">
      <alignment vertical="center"/>
    </xf>
    <xf numFmtId="165" fontId="2" fillId="5" borderId="33" xfId="0" applyNumberFormat="1" applyFont="1" applyFill="1" applyBorder="1" applyAlignment="1">
      <alignment vertical="center"/>
    </xf>
    <xf numFmtId="165" fontId="2" fillId="0" borderId="0" xfId="0" applyNumberFormat="1" applyFont="1" applyAlignment="1">
      <alignment vertical="center"/>
    </xf>
    <xf numFmtId="49" fontId="0" fillId="0" borderId="0" xfId="0" applyNumberFormat="1" applyAlignment="1">
      <alignment horizontal="center"/>
    </xf>
    <xf numFmtId="165" fontId="0" fillId="0" borderId="19" xfId="0" applyNumberFormat="1" applyBorder="1" applyAlignment="1">
      <alignment vertical="center"/>
    </xf>
    <xf numFmtId="165" fontId="0" fillId="0" borderId="34" xfId="0" applyNumberForma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65" fontId="0" fillId="0" borderId="0" xfId="0" applyNumberFormat="1" applyAlignment="1">
      <alignment vertical="center"/>
    </xf>
    <xf numFmtId="10" fontId="10" fillId="0" borderId="0" xfId="2" applyNumberFormat="1" applyFont="1" applyAlignment="1">
      <alignment vertical="center"/>
    </xf>
    <xf numFmtId="0" fontId="2" fillId="4" borderId="17" xfId="0" applyFont="1" applyFill="1" applyBorder="1" applyAlignment="1">
      <alignment horizontal="center" vertical="center"/>
    </xf>
    <xf numFmtId="165" fontId="2" fillId="4" borderId="19" xfId="0" applyNumberFormat="1" applyFont="1" applyFill="1" applyBorder="1" applyAlignment="1">
      <alignment vertical="center"/>
    </xf>
    <xf numFmtId="165" fontId="2" fillId="4" borderId="34" xfId="0" applyNumberFormat="1" applyFont="1" applyFill="1" applyBorder="1" applyAlignment="1">
      <alignment vertical="center"/>
    </xf>
    <xf numFmtId="165" fontId="2" fillId="4" borderId="9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vertical="center"/>
    </xf>
    <xf numFmtId="165" fontId="2" fillId="3" borderId="0" xfId="1" applyNumberFormat="1" applyFont="1" applyFill="1" applyAlignment="1">
      <alignment vertical="center"/>
    </xf>
    <xf numFmtId="164" fontId="2" fillId="3" borderId="0" xfId="1" applyFont="1" applyFill="1" applyAlignment="1">
      <alignment vertical="center"/>
    </xf>
    <xf numFmtId="43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2" fillId="2" borderId="0" xfId="0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165" fontId="2" fillId="2" borderId="0" xfId="1" applyNumberFormat="1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2" fillId="2" borderId="2" xfId="0" applyNumberFormat="1" applyFont="1" applyFill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165" fontId="8" fillId="0" borderId="6" xfId="0" applyNumberFormat="1" applyFont="1" applyBorder="1" applyAlignment="1">
      <alignment vertical="center"/>
    </xf>
    <xf numFmtId="165" fontId="8" fillId="2" borderId="6" xfId="1" applyNumberFormat="1" applyFont="1" applyFill="1" applyBorder="1" applyAlignment="1">
      <alignment vertical="center"/>
    </xf>
    <xf numFmtId="165" fontId="8" fillId="0" borderId="6" xfId="1" applyNumberFormat="1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1" fillId="0" borderId="0" xfId="3" applyBorder="1"/>
    <xf numFmtId="0" fontId="2" fillId="0" borderId="5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40" xfId="0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15" fontId="15" fillId="0" borderId="5" xfId="4" applyNumberFormat="1" applyFont="1" applyBorder="1" applyAlignment="1">
      <alignment horizontal="center" vertical="center" wrapText="1"/>
    </xf>
    <xf numFmtId="165" fontId="13" fillId="0" borderId="4" xfId="1" applyNumberFormat="1" applyFont="1" applyFill="1" applyBorder="1" applyAlignment="1">
      <alignment horizontal="center" vertical="center" wrapText="1"/>
    </xf>
    <xf numFmtId="167" fontId="13" fillId="0" borderId="4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5" fontId="16" fillId="0" borderId="5" xfId="0" applyNumberFormat="1" applyFont="1" applyBorder="1" applyAlignment="1">
      <alignment horizontal="center" vertical="center"/>
    </xf>
    <xf numFmtId="165" fontId="8" fillId="0" borderId="4" xfId="1" applyNumberFormat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165" fontId="8" fillId="0" borderId="5" xfId="1" applyNumberFormat="1" applyFont="1" applyFill="1" applyBorder="1" applyAlignment="1">
      <alignment horizontal="center" vertical="center" wrapText="1"/>
    </xf>
    <xf numFmtId="167" fontId="13" fillId="0" borderId="5" xfId="0" applyNumberFormat="1" applyFont="1" applyBorder="1" applyAlignment="1">
      <alignment horizontal="center" vertical="center" wrapText="1"/>
    </xf>
    <xf numFmtId="165" fontId="13" fillId="0" borderId="5" xfId="1" applyNumberFormat="1" applyFont="1" applyFill="1" applyBorder="1" applyAlignment="1">
      <alignment horizontal="center" vertical="center" wrapText="1"/>
    </xf>
    <xf numFmtId="167" fontId="13" fillId="0" borderId="5" xfId="0" applyNumberFormat="1" applyFont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165" fontId="12" fillId="0" borderId="37" xfId="0" applyNumberFormat="1" applyFont="1" applyBorder="1" applyAlignment="1">
      <alignment horizontal="center" vertical="center" wrapText="1"/>
    </xf>
    <xf numFmtId="43" fontId="13" fillId="0" borderId="0" xfId="0" applyNumberFormat="1" applyFont="1" applyAlignment="1">
      <alignment horizontal="center" vertical="center" wrapText="1"/>
    </xf>
    <xf numFmtId="165" fontId="13" fillId="0" borderId="0" xfId="1" applyNumberFormat="1" applyFont="1" applyFill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43" fontId="13" fillId="0" borderId="0" xfId="0" applyNumberFormat="1" applyFont="1" applyAlignment="1">
      <alignment horizontal="left" vertical="center" wrapText="1"/>
    </xf>
    <xf numFmtId="166" fontId="0" fillId="0" borderId="0" xfId="0" applyNumberFormat="1" applyAlignment="1">
      <alignment wrapText="1"/>
    </xf>
    <xf numFmtId="43" fontId="0" fillId="0" borderId="0" xfId="0" applyNumberFormat="1" applyAlignment="1">
      <alignment wrapText="1"/>
    </xf>
    <xf numFmtId="0" fontId="0" fillId="0" borderId="5" xfId="0" quotePrefix="1" applyBorder="1" applyAlignment="1">
      <alignment horizontal="center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167" fontId="8" fillId="0" borderId="4" xfId="0" applyNumberFormat="1" applyFont="1" applyBorder="1" applyAlignment="1">
      <alignment horizontal="center" vertical="center" wrapText="1"/>
    </xf>
    <xf numFmtId="0" fontId="2" fillId="0" borderId="39" xfId="0" applyFont="1" applyBorder="1" applyAlignment="1">
      <alignment horizontal="left" wrapText="1"/>
    </xf>
    <xf numFmtId="0" fontId="2" fillId="0" borderId="39" xfId="0" applyFont="1" applyBorder="1" applyAlignment="1">
      <alignment wrapText="1"/>
    </xf>
    <xf numFmtId="165" fontId="2" fillId="0" borderId="42" xfId="1" applyNumberFormat="1" applyFont="1" applyBorder="1" applyAlignment="1">
      <alignment wrapText="1"/>
    </xf>
    <xf numFmtId="0" fontId="2" fillId="0" borderId="40" xfId="0" applyFont="1" applyBorder="1" applyAlignment="1">
      <alignment horizontal="left" wrapText="1"/>
    </xf>
    <xf numFmtId="0" fontId="2" fillId="0" borderId="40" xfId="0" applyFont="1" applyBorder="1" applyAlignment="1">
      <alignment wrapText="1"/>
    </xf>
    <xf numFmtId="165" fontId="2" fillId="0" borderId="36" xfId="0" applyNumberFormat="1" applyFont="1" applyBorder="1" applyAlignment="1">
      <alignment wrapText="1"/>
    </xf>
    <xf numFmtId="0" fontId="0" fillId="0" borderId="0" xfId="0" quotePrefix="1" applyAlignment="1">
      <alignment wrapText="1"/>
    </xf>
    <xf numFmtId="0" fontId="0" fillId="0" borderId="39" xfId="0" applyBorder="1" applyAlignment="1">
      <alignment wrapText="1"/>
    </xf>
    <xf numFmtId="0" fontId="0" fillId="0" borderId="39" xfId="0" applyBorder="1" applyAlignment="1">
      <alignment horizontal="left" wrapText="1"/>
    </xf>
    <xf numFmtId="0" fontId="0" fillId="0" borderId="40" xfId="0" applyBorder="1" applyAlignment="1">
      <alignment wrapText="1"/>
    </xf>
    <xf numFmtId="0" fontId="0" fillId="0" borderId="40" xfId="0" applyBorder="1" applyAlignment="1">
      <alignment horizontal="left" wrapText="1"/>
    </xf>
    <xf numFmtId="165" fontId="0" fillId="0" borderId="5" xfId="0" applyNumberFormat="1" applyBorder="1" applyAlignment="1">
      <alignment vertical="center"/>
    </xf>
    <xf numFmtId="166" fontId="0" fillId="0" borderId="6" xfId="0" applyNumberFormat="1" applyBorder="1" applyAlignment="1">
      <alignment vertical="center"/>
    </xf>
    <xf numFmtId="165" fontId="0" fillId="0" borderId="6" xfId="1" applyNumberFormat="1" applyFont="1" applyBorder="1" applyAlignment="1">
      <alignment vertical="center"/>
    </xf>
    <xf numFmtId="165" fontId="0" fillId="0" borderId="5" xfId="1" applyNumberFormat="1" applyFont="1" applyBorder="1" applyAlignment="1">
      <alignment vertical="center"/>
    </xf>
    <xf numFmtId="165" fontId="8" fillId="0" borderId="43" xfId="1" applyNumberFormat="1" applyFont="1" applyBorder="1" applyAlignment="1">
      <alignment vertical="center"/>
    </xf>
    <xf numFmtId="165" fontId="1" fillId="0" borderId="24" xfId="1" applyNumberFormat="1" applyFont="1" applyBorder="1" applyAlignment="1">
      <alignment vertical="center"/>
    </xf>
    <xf numFmtId="165" fontId="8" fillId="0" borderId="44" xfId="1" applyNumberFormat="1" applyFont="1" applyBorder="1" applyAlignment="1">
      <alignment vertical="center"/>
    </xf>
    <xf numFmtId="165" fontId="2" fillId="5" borderId="45" xfId="0" applyNumberFormat="1" applyFont="1" applyFill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49" fontId="0" fillId="0" borderId="6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3" fontId="0" fillId="7" borderId="5" xfId="1" applyNumberFormat="1" applyFont="1" applyFill="1" applyBorder="1" applyAlignment="1">
      <alignment horizontal="center" wrapText="1"/>
    </xf>
    <xf numFmtId="3" fontId="0" fillId="6" borderId="5" xfId="1" applyNumberFormat="1" applyFont="1" applyFill="1" applyBorder="1" applyAlignment="1">
      <alignment horizontal="center" wrapText="1"/>
    </xf>
    <xf numFmtId="3" fontId="0" fillId="3" borderId="5" xfId="1" applyNumberFormat="1" applyFont="1" applyFill="1" applyBorder="1" applyAlignment="1">
      <alignment horizontal="center" wrapText="1"/>
    </xf>
    <xf numFmtId="3" fontId="0" fillId="0" borderId="5" xfId="0" applyNumberFormat="1" applyBorder="1" applyAlignment="1">
      <alignment horizontal="center" wrapText="1"/>
    </xf>
    <xf numFmtId="0" fontId="0" fillId="0" borderId="5" xfId="0" applyBorder="1" applyAlignment="1">
      <alignment wrapText="1"/>
    </xf>
    <xf numFmtId="3" fontId="2" fillId="0" borderId="5" xfId="0" applyNumberFormat="1" applyFont="1" applyBorder="1" applyAlignment="1">
      <alignment wrapText="1"/>
    </xf>
    <xf numFmtId="3" fontId="0" fillId="0" borderId="5" xfId="0" applyNumberFormat="1" applyBorder="1" applyAlignment="1">
      <alignment wrapText="1"/>
    </xf>
    <xf numFmtId="168" fontId="2" fillId="0" borderId="2" xfId="0" applyNumberFormat="1" applyFont="1" applyBorder="1" applyAlignment="1">
      <alignment horizontal="center" vertical="center" wrapText="1"/>
    </xf>
    <xf numFmtId="168" fontId="3" fillId="0" borderId="1" xfId="0" applyNumberFormat="1" applyFont="1" applyBorder="1" applyAlignment="1">
      <alignment horizontal="center" vertical="center" wrapText="1"/>
    </xf>
    <xf numFmtId="168" fontId="3" fillId="0" borderId="5" xfId="0" applyNumberFormat="1" applyFont="1" applyBorder="1" applyAlignment="1">
      <alignment horizontal="center" vertical="center" wrapText="1"/>
    </xf>
    <xf numFmtId="168" fontId="3" fillId="4" borderId="10" xfId="0" applyNumberFormat="1" applyFont="1" applyFill="1" applyBorder="1" applyAlignment="1">
      <alignment horizontal="center" vertical="center" wrapText="1"/>
    </xf>
    <xf numFmtId="0" fontId="1" fillId="8" borderId="5" xfId="5" applyBorder="1" applyAlignment="1">
      <alignment horizontal="center" wrapText="1"/>
    </xf>
    <xf numFmtId="169" fontId="1" fillId="8" borderId="5" xfId="5" applyNumberFormat="1" applyBorder="1" applyAlignment="1">
      <alignment horizontal="center" wrapText="1"/>
    </xf>
    <xf numFmtId="3" fontId="1" fillId="8" borderId="5" xfId="5" applyNumberFormat="1" applyBorder="1" applyAlignment="1">
      <alignment horizontal="center" wrapText="1"/>
    </xf>
    <xf numFmtId="3" fontId="1" fillId="8" borderId="5" xfId="5" applyNumberFormat="1" applyBorder="1" applyAlignment="1">
      <alignment wrapText="1"/>
    </xf>
    <xf numFmtId="9" fontId="1" fillId="9" borderId="5" xfId="6" applyNumberFormat="1" applyBorder="1" applyAlignment="1">
      <alignment horizontal="center" wrapText="1"/>
    </xf>
    <xf numFmtId="10" fontId="1" fillId="9" borderId="5" xfId="6" applyNumberFormat="1" applyBorder="1" applyAlignment="1">
      <alignment horizontal="center" wrapText="1"/>
    </xf>
    <xf numFmtId="3" fontId="1" fillId="9" borderId="5" xfId="6" applyNumberFormat="1" applyBorder="1" applyAlignment="1">
      <alignment wrapText="1"/>
    </xf>
    <xf numFmtId="9" fontId="0" fillId="0" borderId="5" xfId="0" applyNumberFormat="1" applyBorder="1" applyAlignment="1">
      <alignment wrapText="1"/>
    </xf>
    <xf numFmtId="10" fontId="0" fillId="0" borderId="5" xfId="0" applyNumberFormat="1" applyBorder="1" applyAlignment="1">
      <alignment wrapText="1"/>
    </xf>
    <xf numFmtId="168" fontId="0" fillId="0" borderId="0" xfId="0" applyNumberFormat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5" fontId="6" fillId="0" borderId="16" xfId="1" applyNumberFormat="1" applyFont="1" applyBorder="1" applyAlignment="1">
      <alignment vertical="center" wrapText="1"/>
    </xf>
    <xf numFmtId="165" fontId="6" fillId="0" borderId="13" xfId="1" applyNumberFormat="1" applyFont="1" applyBorder="1" applyAlignment="1">
      <alignment vertical="center" wrapText="1"/>
    </xf>
    <xf numFmtId="168" fontId="6" fillId="0" borderId="13" xfId="1" applyNumberFormat="1" applyFont="1" applyBorder="1" applyAlignment="1">
      <alignment vertical="center" wrapText="1"/>
    </xf>
    <xf numFmtId="165" fontId="2" fillId="0" borderId="0" xfId="1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165" fontId="2" fillId="0" borderId="18" xfId="1" applyNumberFormat="1" applyFont="1" applyBorder="1" applyAlignment="1">
      <alignment horizontal="center" vertical="center" wrapText="1"/>
    </xf>
    <xf numFmtId="168" fontId="2" fillId="0" borderId="18" xfId="1" applyNumberFormat="1" applyFont="1" applyBorder="1" applyAlignment="1">
      <alignment horizontal="center" vertical="center" wrapText="1"/>
    </xf>
    <xf numFmtId="165" fontId="2" fillId="0" borderId="0" xfId="1" applyNumberFormat="1" applyFont="1" applyBorder="1" applyAlignment="1">
      <alignment horizontal="center" vertical="center" wrapText="1"/>
    </xf>
    <xf numFmtId="168" fontId="2" fillId="0" borderId="0" xfId="1" applyNumberFormat="1" applyFont="1" applyBorder="1" applyAlignment="1">
      <alignment horizontal="center" vertical="center" wrapText="1"/>
    </xf>
    <xf numFmtId="10" fontId="2" fillId="0" borderId="19" xfId="2" applyNumberFormat="1" applyFont="1" applyBorder="1" applyAlignment="1">
      <alignment horizontal="center" vertical="center" wrapText="1"/>
    </xf>
    <xf numFmtId="168" fontId="2" fillId="0" borderId="19" xfId="2" applyNumberFormat="1" applyFont="1" applyBorder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165" fontId="8" fillId="0" borderId="21" xfId="1" applyNumberFormat="1" applyFont="1" applyBorder="1" applyAlignment="1">
      <alignment vertical="center" wrapText="1"/>
    </xf>
    <xf numFmtId="165" fontId="8" fillId="0" borderId="22" xfId="1" applyNumberFormat="1" applyFont="1" applyBorder="1" applyAlignment="1">
      <alignment vertical="center" wrapText="1"/>
    </xf>
    <xf numFmtId="165" fontId="9" fillId="0" borderId="22" xfId="1" applyNumberFormat="1" applyFont="1" applyBorder="1" applyAlignment="1">
      <alignment vertical="center" wrapText="1"/>
    </xf>
    <xf numFmtId="168" fontId="8" fillId="0" borderId="22" xfId="1" applyNumberFormat="1" applyFont="1" applyBorder="1" applyAlignment="1">
      <alignment vertical="center" wrapText="1"/>
    </xf>
    <xf numFmtId="165" fontId="8" fillId="0" borderId="23" xfId="1" applyNumberFormat="1" applyFont="1" applyBorder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165" fontId="8" fillId="0" borderId="7" xfId="1" applyNumberFormat="1" applyFont="1" applyBorder="1" applyAlignment="1">
      <alignment vertical="center" wrapText="1"/>
    </xf>
    <xf numFmtId="165" fontId="8" fillId="0" borderId="8" xfId="1" applyNumberFormat="1" applyFont="1" applyBorder="1" applyAlignment="1">
      <alignment vertical="center" wrapText="1"/>
    </xf>
    <xf numFmtId="168" fontId="8" fillId="0" borderId="8" xfId="1" applyNumberFormat="1" applyFont="1" applyBorder="1" applyAlignment="1">
      <alignment vertical="center" wrapText="1"/>
    </xf>
    <xf numFmtId="165" fontId="8" fillId="0" borderId="25" xfId="1" applyNumberFormat="1" applyFont="1" applyBorder="1" applyAlignment="1">
      <alignment vertical="center" wrapText="1"/>
    </xf>
    <xf numFmtId="165" fontId="8" fillId="0" borderId="43" xfId="1" applyNumberFormat="1" applyFont="1" applyBorder="1" applyAlignment="1">
      <alignment vertical="center" wrapText="1"/>
    </xf>
    <xf numFmtId="165" fontId="1" fillId="0" borderId="7" xfId="1" applyNumberFormat="1" applyFont="1" applyBorder="1" applyAlignment="1">
      <alignment vertical="center" wrapText="1"/>
    </xf>
    <xf numFmtId="168" fontId="1" fillId="0" borderId="7" xfId="1" applyNumberFormat="1" applyFont="1" applyBorder="1" applyAlignment="1">
      <alignment vertical="center" wrapText="1"/>
    </xf>
    <xf numFmtId="165" fontId="1" fillId="0" borderId="24" xfId="1" applyNumberFormat="1" applyFont="1" applyBorder="1" applyAlignment="1">
      <alignment vertical="center" wrapText="1"/>
    </xf>
    <xf numFmtId="165" fontId="8" fillId="0" borderId="27" xfId="1" applyNumberFormat="1" applyFont="1" applyBorder="1" applyAlignment="1">
      <alignment vertical="center" wrapText="1"/>
    </xf>
    <xf numFmtId="168" fontId="8" fillId="0" borderId="27" xfId="1" applyNumberFormat="1" applyFont="1" applyBorder="1" applyAlignment="1">
      <alignment vertical="center" wrapText="1"/>
    </xf>
    <xf numFmtId="165" fontId="8" fillId="0" borderId="28" xfId="1" applyNumberFormat="1" applyFont="1" applyBorder="1" applyAlignment="1">
      <alignment vertical="center" wrapText="1"/>
    </xf>
    <xf numFmtId="165" fontId="8" fillId="0" borderId="44" xfId="1" applyNumberFormat="1" applyFont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165" fontId="8" fillId="0" borderId="30" xfId="1" applyNumberFormat="1" applyFont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165" fontId="2" fillId="5" borderId="31" xfId="0" applyNumberFormat="1" applyFont="1" applyFill="1" applyBorder="1" applyAlignment="1">
      <alignment vertical="center" wrapText="1"/>
    </xf>
    <xf numFmtId="165" fontId="2" fillId="5" borderId="32" xfId="0" applyNumberFormat="1" applyFont="1" applyFill="1" applyBorder="1" applyAlignment="1">
      <alignment vertical="center" wrapText="1"/>
    </xf>
    <xf numFmtId="168" fontId="2" fillId="5" borderId="33" xfId="0" applyNumberFormat="1" applyFont="1" applyFill="1" applyBorder="1" applyAlignment="1">
      <alignment vertical="center" wrapText="1"/>
    </xf>
    <xf numFmtId="165" fontId="2" fillId="5" borderId="33" xfId="0" applyNumberFormat="1" applyFont="1" applyFill="1" applyBorder="1" applyAlignment="1">
      <alignment vertical="center" wrapText="1"/>
    </xf>
    <xf numFmtId="165" fontId="2" fillId="5" borderId="45" xfId="0" applyNumberFormat="1" applyFont="1" applyFill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49" fontId="0" fillId="0" borderId="0" xfId="0" applyNumberFormat="1" applyAlignment="1">
      <alignment horizontal="center" wrapText="1"/>
    </xf>
    <xf numFmtId="165" fontId="0" fillId="0" borderId="19" xfId="0" applyNumberFormat="1" applyBorder="1" applyAlignment="1">
      <alignment vertical="center" wrapText="1"/>
    </xf>
    <xf numFmtId="165" fontId="0" fillId="0" borderId="34" xfId="0" applyNumberFormat="1" applyBorder="1" applyAlignment="1">
      <alignment vertical="center" wrapText="1"/>
    </xf>
    <xf numFmtId="168" fontId="0" fillId="0" borderId="34" xfId="0" applyNumberFormat="1" applyBorder="1" applyAlignment="1">
      <alignment vertical="center" wrapText="1"/>
    </xf>
    <xf numFmtId="165" fontId="0" fillId="0" borderId="9" xfId="0" applyNumberFormat="1" applyBorder="1" applyAlignment="1">
      <alignment vertical="center" wrapText="1"/>
    </xf>
    <xf numFmtId="165" fontId="0" fillId="0" borderId="0" xfId="0" applyNumberFormat="1" applyAlignment="1">
      <alignment vertical="center" wrapText="1"/>
    </xf>
    <xf numFmtId="10" fontId="10" fillId="0" borderId="0" xfId="2" applyNumberFormat="1" applyFont="1" applyAlignment="1">
      <alignment vertical="center" wrapText="1"/>
    </xf>
    <xf numFmtId="168" fontId="10" fillId="0" borderId="0" xfId="2" applyNumberFormat="1" applyFont="1" applyAlignment="1">
      <alignment vertical="center" wrapText="1"/>
    </xf>
    <xf numFmtId="0" fontId="2" fillId="4" borderId="17" xfId="0" applyFont="1" applyFill="1" applyBorder="1" applyAlignment="1">
      <alignment horizontal="center" vertical="center" wrapText="1"/>
    </xf>
    <xf numFmtId="165" fontId="2" fillId="4" borderId="19" xfId="0" applyNumberFormat="1" applyFont="1" applyFill="1" applyBorder="1" applyAlignment="1">
      <alignment vertical="center" wrapText="1"/>
    </xf>
    <xf numFmtId="165" fontId="2" fillId="4" borderId="34" xfId="0" applyNumberFormat="1" applyFont="1" applyFill="1" applyBorder="1" applyAlignment="1">
      <alignment vertical="center" wrapText="1"/>
    </xf>
    <xf numFmtId="168" fontId="2" fillId="4" borderId="9" xfId="0" applyNumberFormat="1" applyFont="1" applyFill="1" applyBorder="1" applyAlignment="1">
      <alignment vertical="center" wrapText="1"/>
    </xf>
    <xf numFmtId="165" fontId="2" fillId="4" borderId="9" xfId="0" applyNumberFormat="1" applyFont="1" applyFill="1" applyBorder="1" applyAlignment="1">
      <alignment vertical="center" wrapText="1"/>
    </xf>
    <xf numFmtId="0" fontId="11" fillId="0" borderId="0" xfId="3" applyBorder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  <xf numFmtId="165" fontId="2" fillId="3" borderId="0" xfId="1" applyNumberFormat="1" applyFont="1" applyFill="1" applyAlignment="1">
      <alignment vertical="center" wrapText="1"/>
    </xf>
    <xf numFmtId="168" fontId="2" fillId="3" borderId="0" xfId="1" applyNumberFormat="1" applyFont="1" applyFill="1" applyAlignment="1">
      <alignment vertical="center" wrapText="1"/>
    </xf>
    <xf numFmtId="164" fontId="2" fillId="3" borderId="0" xfId="1" applyFont="1" applyFill="1" applyAlignment="1">
      <alignment vertical="center" wrapText="1"/>
    </xf>
    <xf numFmtId="43" fontId="0" fillId="0" borderId="0" xfId="0" applyNumberFormat="1" applyAlignment="1">
      <alignment vertic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166" fontId="2" fillId="2" borderId="0" xfId="0" applyNumberFormat="1" applyFont="1" applyFill="1" applyAlignment="1">
      <alignment vertical="center" wrapText="1"/>
    </xf>
    <xf numFmtId="168" fontId="2" fillId="2" borderId="0" xfId="1" applyNumberFormat="1" applyFont="1" applyFill="1" applyAlignment="1">
      <alignment vertical="center" wrapText="1"/>
    </xf>
    <xf numFmtId="165" fontId="2" fillId="2" borderId="0" xfId="1" applyNumberFormat="1" applyFont="1" applyFill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8" fontId="8" fillId="0" borderId="0" xfId="0" applyNumberFormat="1" applyFont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/>
    </xf>
    <xf numFmtId="0" fontId="8" fillId="0" borderId="35" xfId="0" applyFont="1" applyBorder="1" applyAlignment="1">
      <alignment vertical="center" wrapText="1"/>
    </xf>
    <xf numFmtId="0" fontId="8" fillId="0" borderId="36" xfId="0" applyFont="1" applyBorder="1" applyAlignment="1">
      <alignment vertical="center" wrapText="1"/>
    </xf>
    <xf numFmtId="165" fontId="8" fillId="0" borderId="6" xfId="0" applyNumberFormat="1" applyFont="1" applyBorder="1" applyAlignment="1">
      <alignment vertical="center" wrapText="1"/>
    </xf>
    <xf numFmtId="166" fontId="0" fillId="0" borderId="6" xfId="0" applyNumberFormat="1" applyBorder="1" applyAlignment="1">
      <alignment vertical="center" wrapText="1"/>
    </xf>
    <xf numFmtId="165" fontId="8" fillId="2" borderId="6" xfId="1" applyNumberFormat="1" applyFont="1" applyFill="1" applyBorder="1" applyAlignment="1">
      <alignment vertical="center" wrapText="1"/>
    </xf>
    <xf numFmtId="165" fontId="8" fillId="0" borderId="6" xfId="1" applyNumberFormat="1" applyFont="1" applyBorder="1" applyAlignment="1">
      <alignment vertical="center" wrapText="1"/>
    </xf>
    <xf numFmtId="165" fontId="0" fillId="0" borderId="6" xfId="1" applyNumberFormat="1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165" fontId="0" fillId="0" borderId="5" xfId="1" applyNumberFormat="1" applyFont="1" applyBorder="1" applyAlignment="1">
      <alignment vertical="center" wrapText="1"/>
    </xf>
    <xf numFmtId="165" fontId="0" fillId="0" borderId="6" xfId="0" applyNumberFormat="1" applyBorder="1" applyAlignment="1">
      <alignment vertical="center" wrapText="1"/>
    </xf>
    <xf numFmtId="168" fontId="0" fillId="0" borderId="6" xfId="1" applyNumberFormat="1" applyFont="1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8" fontId="0" fillId="0" borderId="5" xfId="1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168" fontId="2" fillId="0" borderId="1" xfId="0" applyNumberFormat="1" applyFont="1" applyBorder="1" applyAlignment="1">
      <alignment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8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168" fontId="0" fillId="0" borderId="5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vertical="center" wrapText="1"/>
    </xf>
    <xf numFmtId="0" fontId="8" fillId="0" borderId="0" xfId="0" applyFont="1" applyAlignment="1">
      <alignment vertical="center"/>
    </xf>
    <xf numFmtId="1" fontId="0" fillId="0" borderId="0" xfId="0" applyNumberFormat="1" applyAlignment="1">
      <alignment wrapText="1"/>
    </xf>
    <xf numFmtId="0" fontId="8" fillId="0" borderId="5" xfId="0" applyFont="1" applyBorder="1" applyAlignment="1">
      <alignment vertical="center"/>
    </xf>
    <xf numFmtId="1" fontId="0" fillId="0" borderId="5" xfId="0" applyNumberFormat="1" applyBorder="1" applyAlignment="1">
      <alignment wrapText="1"/>
    </xf>
    <xf numFmtId="165" fontId="8" fillId="0" borderId="5" xfId="1" applyNumberFormat="1" applyFont="1" applyBorder="1" applyAlignment="1">
      <alignment horizontal="center" vertical="center"/>
    </xf>
    <xf numFmtId="165" fontId="8" fillId="0" borderId="5" xfId="1" applyNumberFormat="1" applyFont="1" applyFill="1" applyBorder="1" applyAlignment="1">
      <alignment horizontal="center" vertical="center"/>
    </xf>
    <xf numFmtId="165" fontId="8" fillId="0" borderId="0" xfId="1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" fillId="0" borderId="5" xfId="1" applyNumberFormat="1" applyFont="1" applyBorder="1" applyAlignment="1">
      <alignment vertical="center"/>
    </xf>
    <xf numFmtId="165" fontId="1" fillId="0" borderId="3" xfId="1" applyNumberFormat="1" applyFont="1" applyBorder="1" applyAlignment="1">
      <alignment vertical="center"/>
    </xf>
    <xf numFmtId="165" fontId="1" fillId="0" borderId="4" xfId="1" applyNumberFormat="1" applyFont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" fontId="8" fillId="0" borderId="0" xfId="0" applyNumberFormat="1" applyFont="1" applyAlignment="1">
      <alignment vertical="center"/>
    </xf>
    <xf numFmtId="165" fontId="1" fillId="7" borderId="4" xfId="1" applyNumberFormat="1" applyFont="1" applyFill="1" applyBorder="1" applyAlignment="1">
      <alignment vertical="center"/>
    </xf>
    <xf numFmtId="165" fontId="1" fillId="7" borderId="5" xfId="1" applyNumberFormat="1" applyFont="1" applyFill="1" applyBorder="1" applyAlignment="1">
      <alignment vertical="center"/>
    </xf>
    <xf numFmtId="165" fontId="1" fillId="7" borderId="3" xfId="1" applyNumberFormat="1" applyFont="1" applyFill="1" applyBorder="1" applyAlignment="1">
      <alignment vertical="center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5" xfId="0" applyFont="1" applyBorder="1" applyAlignment="1">
      <alignment wrapText="1"/>
    </xf>
    <xf numFmtId="0" fontId="2" fillId="0" borderId="40" xfId="0" applyFont="1" applyBorder="1" applyAlignment="1">
      <alignment wrapText="1"/>
    </xf>
    <xf numFmtId="0" fontId="2" fillId="0" borderId="4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41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35" xfId="0" applyFont="1" applyBorder="1" applyAlignment="1">
      <alignment horizontal="left" wrapText="1"/>
    </xf>
    <xf numFmtId="0" fontId="2" fillId="0" borderId="40" xfId="0" applyFont="1" applyBorder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41" xfId="0" applyFont="1" applyBorder="1" applyAlignment="1">
      <alignment wrapText="1"/>
    </xf>
    <xf numFmtId="0" fontId="2" fillId="0" borderId="39" xfId="0" applyFont="1" applyBorder="1" applyAlignment="1">
      <alignment wrapText="1"/>
    </xf>
    <xf numFmtId="0" fontId="0" fillId="0" borderId="0" xfId="0" applyAlignment="1">
      <alignment horizontal="right" wrapText="1"/>
    </xf>
    <xf numFmtId="1" fontId="8" fillId="0" borderId="5" xfId="0" applyNumberFormat="1" applyFont="1" applyBorder="1" applyAlignment="1">
      <alignment vertical="center"/>
    </xf>
    <xf numFmtId="0" fontId="1" fillId="9" borderId="5" xfId="6" applyBorder="1" applyAlignment="1">
      <alignment vertical="center"/>
    </xf>
    <xf numFmtId="165" fontId="1" fillId="9" borderId="5" xfId="6" applyNumberFormat="1" applyBorder="1" applyAlignment="1">
      <alignment horizontal="center" vertical="center"/>
    </xf>
    <xf numFmtId="0" fontId="1" fillId="9" borderId="0" xfId="6" applyAlignment="1">
      <alignment vertical="center"/>
    </xf>
    <xf numFmtId="1" fontId="1" fillId="10" borderId="0" xfId="7" applyNumberFormat="1" applyAlignment="1">
      <alignment vertical="center"/>
    </xf>
    <xf numFmtId="0" fontId="1" fillId="10" borderId="0" xfId="7" applyAlignment="1">
      <alignment vertical="center"/>
    </xf>
    <xf numFmtId="3" fontId="0" fillId="0" borderId="0" xfId="0" applyNumberFormat="1" applyAlignment="1">
      <alignment horizontal="center" wrapText="1"/>
    </xf>
    <xf numFmtId="1" fontId="1" fillId="10" borderId="3" xfId="7" applyNumberFormat="1" applyBorder="1" applyAlignment="1">
      <alignment wrapText="1"/>
    </xf>
    <xf numFmtId="1" fontId="1" fillId="10" borderId="3" xfId="7" applyNumberFormat="1" applyBorder="1" applyAlignment="1">
      <alignment vertical="center"/>
    </xf>
    <xf numFmtId="0" fontId="1" fillId="10" borderId="3" xfId="7" applyBorder="1" applyAlignment="1">
      <alignment vertical="center"/>
    </xf>
  </cellXfs>
  <cellStyles count="8">
    <cellStyle name="20% - Accent1" xfId="5" builtinId="30"/>
    <cellStyle name="20% - Accent2" xfId="6" builtinId="34"/>
    <cellStyle name="20% - Accent6" xfId="7" builtinId="50"/>
    <cellStyle name="Comma" xfId="1" builtinId="3"/>
    <cellStyle name="Hyperlink" xfId="3" builtinId="8"/>
    <cellStyle name="Normal" xfId="0" builtinId="0"/>
    <cellStyle name="Normal 19" xfId="4" xr:uid="{072D8885-B37F-4661-8D1F-5C41457D7DF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114</xdr:row>
      <xdr:rowOff>0</xdr:rowOff>
    </xdr:from>
    <xdr:ext cx="10394387" cy="4540929"/>
    <xdr:pic>
      <xdr:nvPicPr>
        <xdr:cNvPr id="2" name="Picture 1">
          <a:extLst>
            <a:ext uri="{FF2B5EF4-FFF2-40B4-BE49-F238E27FC236}">
              <a16:creationId xmlns:a16="http://schemas.microsoft.com/office/drawing/2014/main" id="{7CC16A23-7A85-487C-9270-624A92AEA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9980" y="21579840"/>
          <a:ext cx="10394387" cy="454092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118</xdr:row>
      <xdr:rowOff>0</xdr:rowOff>
    </xdr:from>
    <xdr:to>
      <xdr:col>32</xdr:col>
      <xdr:colOff>255977</xdr:colOff>
      <xdr:row>142</xdr:row>
      <xdr:rowOff>151809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BBD63-CE2B-3B34-ACEF-FED1ABDB4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26498550"/>
          <a:ext cx="9580952" cy="4723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pport\Downloads\Book12%20(2).xlsx" TargetMode="External"/><Relationship Id="rId1" Type="http://schemas.openxmlformats.org/officeDocument/2006/relationships/externalLinkPath" Target="/Users/Support/Downloads/Book12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akeven- avg GP"/>
      <sheetName val="Rent format"/>
      <sheetName val="Sheet11"/>
      <sheetName val="Breakeven- as Apr.26 GP"/>
    </sheetNames>
    <sheetDataSet>
      <sheetData sheetId="0">
        <row r="5">
          <cell r="D5" t="str">
            <v>Banani</v>
          </cell>
          <cell r="E5" t="str">
            <v>Nikunja (Asian Tower)</v>
          </cell>
          <cell r="F5" t="str">
            <v>Lalmatia</v>
          </cell>
          <cell r="G5" t="str">
            <v>Nurjahan Road</v>
          </cell>
          <cell r="H5" t="str">
            <v>Benaroshi Polli</v>
          </cell>
          <cell r="I5" t="str">
            <v>Fakirapul</v>
          </cell>
          <cell r="J5" t="str">
            <v>Mirpur DOHS</v>
          </cell>
          <cell r="K5" t="str">
            <v>Kazipara</v>
          </cell>
          <cell r="L5" t="str">
            <v>Mirpur-6</v>
          </cell>
          <cell r="M5" t="str">
            <v>Banani DOHS</v>
          </cell>
          <cell r="N5" t="str">
            <v>Nikunja 01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3893-7507-44D7-BB56-0ACA657A7FDE}">
  <dimension ref="A2:K94"/>
  <sheetViews>
    <sheetView showGridLines="0" tabSelected="1" workbookViewId="0">
      <selection activeCell="K71" sqref="K71"/>
    </sheetView>
  </sheetViews>
  <sheetFormatPr defaultColWidth="8.83984375" defaultRowHeight="14.4" x14ac:dyDescent="0.55000000000000004"/>
  <cols>
    <col min="1" max="1" width="14.83984375" style="88" customWidth="1"/>
    <col min="2" max="2" width="18.26171875" style="88" customWidth="1"/>
    <col min="3" max="3" width="21" style="88" customWidth="1"/>
    <col min="4" max="4" width="17.89453125" style="88" customWidth="1"/>
    <col min="5" max="5" width="18.68359375" style="88" customWidth="1"/>
    <col min="6" max="6" width="20.83984375" style="88" customWidth="1"/>
    <col min="7" max="9" width="14.41796875" style="88" customWidth="1"/>
    <col min="10" max="10" width="12.83984375" style="88" customWidth="1"/>
    <col min="11" max="11" width="12.83984375" style="154" customWidth="1"/>
    <col min="12" max="12" width="12.83984375" style="88" customWidth="1"/>
    <col min="13" max="13" width="15.20703125" style="88" bestFit="1" customWidth="1"/>
    <col min="14" max="14" width="15.47265625" style="88" customWidth="1"/>
    <col min="15" max="15" width="14.15625" style="88" customWidth="1"/>
    <col min="16" max="16384" width="8.83984375" style="88"/>
  </cols>
  <sheetData>
    <row r="2" spans="1:11" x14ac:dyDescent="0.55000000000000004">
      <c r="B2" s="162" t="s">
        <v>217</v>
      </c>
      <c r="C2" s="176" t="s">
        <v>237</v>
      </c>
      <c r="D2" s="176" t="s">
        <v>238</v>
      </c>
      <c r="E2" s="176" t="s">
        <v>239</v>
      </c>
      <c r="F2" s="176" t="s">
        <v>240</v>
      </c>
      <c r="G2" s="176" t="s">
        <v>241</v>
      </c>
      <c r="H2" s="176" t="s">
        <v>242</v>
      </c>
      <c r="I2" s="176" t="s">
        <v>243</v>
      </c>
      <c r="J2" s="176" t="s">
        <v>244</v>
      </c>
    </row>
    <row r="3" spans="1:11" x14ac:dyDescent="0.55000000000000004">
      <c r="B3" s="162" t="s">
        <v>218</v>
      </c>
      <c r="C3" s="177">
        <v>5.0000000000000001E-3</v>
      </c>
      <c r="D3" s="177">
        <v>7.4999999999999997E-3</v>
      </c>
      <c r="E3" s="176">
        <v>0.01</v>
      </c>
      <c r="F3" s="177">
        <v>1.2500000000000001E-2</v>
      </c>
      <c r="G3" s="177">
        <v>1.4999999999999999E-2</v>
      </c>
      <c r="H3" s="176">
        <v>0.05</v>
      </c>
      <c r="I3" s="176">
        <v>0.06</v>
      </c>
      <c r="J3" s="176">
        <v>7.0000000000000007E-2</v>
      </c>
    </row>
    <row r="5" spans="1:11" x14ac:dyDescent="0.55000000000000004">
      <c r="D5" s="278"/>
      <c r="E5" s="278"/>
      <c r="F5" s="279"/>
    </row>
    <row r="6" spans="1:11" x14ac:dyDescent="0.55000000000000004">
      <c r="D6" s="278"/>
      <c r="E6" s="278"/>
      <c r="F6" s="279"/>
    </row>
    <row r="7" spans="1:11" ht="28.8" x14ac:dyDescent="0.55000000000000004">
      <c r="A7" s="338" t="s">
        <v>245</v>
      </c>
      <c r="B7" s="162"/>
      <c r="C7" s="162" t="s">
        <v>225</v>
      </c>
      <c r="D7" s="280" t="s">
        <v>229</v>
      </c>
      <c r="E7" s="162" t="s">
        <v>230</v>
      </c>
      <c r="F7" s="162" t="s">
        <v>228</v>
      </c>
      <c r="G7" s="340" t="s">
        <v>226</v>
      </c>
      <c r="H7" s="280" t="s">
        <v>205</v>
      </c>
      <c r="I7" s="280" t="s">
        <v>235</v>
      </c>
      <c r="J7" s="346" t="s">
        <v>227</v>
      </c>
      <c r="K7" s="161" t="s">
        <v>247</v>
      </c>
    </row>
    <row r="8" spans="1:11" x14ac:dyDescent="0.55000000000000004">
      <c r="A8" s="88">
        <v>31</v>
      </c>
      <c r="B8" s="309" t="s">
        <v>10</v>
      </c>
      <c r="C8" s="162" t="s">
        <v>221</v>
      </c>
      <c r="D8" s="141">
        <v>811487</v>
      </c>
      <c r="E8" s="288">
        <f>31000*31</f>
        <v>961000</v>
      </c>
      <c r="F8" s="281">
        <f>D8/E8*100</f>
        <v>84.441935483870964</v>
      </c>
      <c r="G8" s="341">
        <v>7100</v>
      </c>
      <c r="H8" s="288">
        <f>31000*31</f>
        <v>961000</v>
      </c>
      <c r="I8" s="282">
        <f>D8/H8*100</f>
        <v>84.441935483870964</v>
      </c>
      <c r="J8" s="346">
        <f>D8*F3</f>
        <v>10143.587500000001</v>
      </c>
      <c r="K8" s="161"/>
    </row>
    <row r="9" spans="1:11" x14ac:dyDescent="0.55000000000000004">
      <c r="A9" s="88">
        <v>28</v>
      </c>
      <c r="B9" s="309"/>
      <c r="C9" s="162" t="s">
        <v>222</v>
      </c>
      <c r="D9" s="141">
        <v>689034</v>
      </c>
      <c r="E9" s="286">
        <f>31000*28</f>
        <v>868000</v>
      </c>
      <c r="F9" s="281">
        <f t="shared" ref="F9:F11" si="0">D9/E9*100</f>
        <v>79.381797235023043</v>
      </c>
      <c r="G9" s="341">
        <v>7800</v>
      </c>
      <c r="H9" s="286">
        <f>31000*28</f>
        <v>868000</v>
      </c>
      <c r="I9" s="282">
        <f t="shared" ref="I9:I11" si="1">D9/H9*100</f>
        <v>79.381797235023043</v>
      </c>
      <c r="J9" s="346">
        <f>D9*E3</f>
        <v>6890.34</v>
      </c>
      <c r="K9" s="161"/>
    </row>
    <row r="10" spans="1:11" x14ac:dyDescent="0.55000000000000004">
      <c r="A10" s="88">
        <v>31</v>
      </c>
      <c r="B10" s="309"/>
      <c r="C10" s="162" t="s">
        <v>223</v>
      </c>
      <c r="D10" s="141">
        <v>836699</v>
      </c>
      <c r="E10" s="286">
        <f>31000*31</f>
        <v>961000</v>
      </c>
      <c r="F10" s="281">
        <f>D10/E10*100</f>
        <v>87.065452653485949</v>
      </c>
      <c r="G10" s="341">
        <v>11800</v>
      </c>
      <c r="H10" s="286">
        <f>31000*31</f>
        <v>961000</v>
      </c>
      <c r="I10" s="282">
        <f t="shared" si="1"/>
        <v>87.065452653485949</v>
      </c>
      <c r="J10" s="346">
        <f>D10*F3</f>
        <v>10458.737500000001</v>
      </c>
      <c r="K10" s="161"/>
    </row>
    <row r="11" spans="1:11" ht="15" customHeight="1" x14ac:dyDescent="0.55000000000000004">
      <c r="A11" s="88">
        <v>30</v>
      </c>
      <c r="B11" s="309"/>
      <c r="C11" s="162" t="s">
        <v>224</v>
      </c>
      <c r="D11" s="141">
        <v>714728</v>
      </c>
      <c r="E11" s="287">
        <f>31000*30</f>
        <v>930000</v>
      </c>
      <c r="F11" s="281">
        <f t="shared" si="0"/>
        <v>76.852473118279576</v>
      </c>
      <c r="G11" s="341">
        <f>2500+1800</f>
        <v>4300</v>
      </c>
      <c r="H11" s="287">
        <f>31000*30</f>
        <v>930000</v>
      </c>
      <c r="I11" s="282">
        <f t="shared" si="1"/>
        <v>76.852473118279576</v>
      </c>
      <c r="J11" s="346">
        <f>D11*E3</f>
        <v>7147.28</v>
      </c>
      <c r="K11" s="161"/>
    </row>
    <row r="12" spans="1:11" ht="15" customHeight="1" x14ac:dyDescent="0.55000000000000004">
      <c r="B12" s="87" t="s">
        <v>232</v>
      </c>
      <c r="D12" s="285">
        <f>SUM(D8:D11)</f>
        <v>3051948</v>
      </c>
      <c r="E12" s="278">
        <f t="shared" ref="E12:J12" si="2">SUM(E8:E11)</f>
        <v>3720000</v>
      </c>
      <c r="F12" s="290">
        <f t="shared" si="2"/>
        <v>327.74165849065952</v>
      </c>
      <c r="G12" s="342">
        <f t="shared" si="2"/>
        <v>31000</v>
      </c>
      <c r="H12" s="278"/>
      <c r="I12" s="278"/>
      <c r="J12" s="343">
        <f t="shared" si="2"/>
        <v>34639.945</v>
      </c>
      <c r="K12" s="161">
        <f>J12/'Breakeven- avg GP (3)'!D38</f>
        <v>5773.3241666666663</v>
      </c>
    </row>
    <row r="13" spans="1:11" ht="15" customHeight="1" x14ac:dyDescent="0.55000000000000004">
      <c r="B13" s="87"/>
      <c r="D13" s="278"/>
      <c r="G13" s="284"/>
      <c r="H13" s="284"/>
      <c r="I13" s="284"/>
      <c r="J13" s="279"/>
      <c r="K13" s="345"/>
    </row>
    <row r="14" spans="1:11" x14ac:dyDescent="0.55000000000000004">
      <c r="D14" s="310"/>
      <c r="E14" s="310"/>
      <c r="F14" s="279"/>
      <c r="K14" s="345"/>
    </row>
    <row r="15" spans="1:11" ht="28.8" x14ac:dyDescent="0.55000000000000004">
      <c r="B15" s="162"/>
      <c r="C15" s="162" t="s">
        <v>225</v>
      </c>
      <c r="D15" s="280" t="s">
        <v>229</v>
      </c>
      <c r="E15" s="162" t="s">
        <v>230</v>
      </c>
      <c r="F15" s="162" t="s">
        <v>228</v>
      </c>
      <c r="G15" s="340" t="s">
        <v>226</v>
      </c>
      <c r="H15" s="280" t="s">
        <v>205</v>
      </c>
      <c r="I15" s="280" t="s">
        <v>235</v>
      </c>
      <c r="J15" s="346" t="s">
        <v>227</v>
      </c>
      <c r="K15" s="161" t="s">
        <v>247</v>
      </c>
    </row>
    <row r="16" spans="1:11" x14ac:dyDescent="0.55000000000000004">
      <c r="B16" s="309" t="s">
        <v>11</v>
      </c>
      <c r="C16" s="162" t="s">
        <v>221</v>
      </c>
      <c r="D16" s="141">
        <v>556246</v>
      </c>
      <c r="E16" s="288">
        <f>33000*31</f>
        <v>1023000</v>
      </c>
      <c r="F16" s="281">
        <f>D16/E16*100</f>
        <v>54.373998044965788</v>
      </c>
      <c r="G16" s="341">
        <v>800</v>
      </c>
      <c r="H16" s="291">
        <f>33000*31</f>
        <v>1023000</v>
      </c>
      <c r="I16" s="282">
        <f>D16/H16*100</f>
        <v>54.373998044965788</v>
      </c>
      <c r="J16" s="346">
        <f>D16*C3</f>
        <v>2781.23</v>
      </c>
      <c r="K16" s="161"/>
    </row>
    <row r="17" spans="1:11" x14ac:dyDescent="0.55000000000000004">
      <c r="B17" s="309"/>
      <c r="C17" s="162" t="s">
        <v>222</v>
      </c>
      <c r="D17" s="141">
        <v>581480</v>
      </c>
      <c r="E17" s="286">
        <f>33000*28</f>
        <v>924000</v>
      </c>
      <c r="F17" s="281">
        <f t="shared" ref="F17:F19" si="3">D17/E17*100</f>
        <v>62.930735930735928</v>
      </c>
      <c r="G17" s="341">
        <v>1800</v>
      </c>
      <c r="H17" s="292">
        <f>33000*28</f>
        <v>924000</v>
      </c>
      <c r="I17" s="282">
        <f>D17/H17*100</f>
        <v>62.930735930735928</v>
      </c>
      <c r="J17" s="346">
        <f>D17*D3</f>
        <v>4361.0999999999995</v>
      </c>
      <c r="K17" s="161"/>
    </row>
    <row r="18" spans="1:11" x14ac:dyDescent="0.55000000000000004">
      <c r="B18" s="309"/>
      <c r="C18" s="162" t="s">
        <v>223</v>
      </c>
      <c r="D18" s="141">
        <v>619527</v>
      </c>
      <c r="E18" s="286">
        <f>33000*31</f>
        <v>1023000</v>
      </c>
      <c r="F18" s="281">
        <f>D18/E18*100</f>
        <v>60.559824046920816</v>
      </c>
      <c r="G18" s="341">
        <v>1600</v>
      </c>
      <c r="H18" s="292">
        <f>33000*31</f>
        <v>1023000</v>
      </c>
      <c r="I18" s="282">
        <f t="shared" ref="I18" si="4">D18/H18*100</f>
        <v>60.559824046920816</v>
      </c>
      <c r="J18" s="346">
        <f>D18*D3</f>
        <v>4646.4524999999994</v>
      </c>
      <c r="K18" s="161"/>
    </row>
    <row r="19" spans="1:11" x14ac:dyDescent="0.55000000000000004">
      <c r="B19" s="309"/>
      <c r="C19" s="162" t="s">
        <v>224</v>
      </c>
      <c r="D19" s="141">
        <v>711082</v>
      </c>
      <c r="E19" s="287">
        <f>33000*30</f>
        <v>990000</v>
      </c>
      <c r="F19" s="281">
        <f t="shared" si="3"/>
        <v>71.826464646464643</v>
      </c>
      <c r="G19" s="341">
        <v>3000</v>
      </c>
      <c r="H19" s="293">
        <f>33000*30</f>
        <v>990000</v>
      </c>
      <c r="I19" s="282">
        <f>D19/H19*100</f>
        <v>71.826464646464643</v>
      </c>
      <c r="J19" s="346">
        <f>D19*E3</f>
        <v>7110.82</v>
      </c>
      <c r="K19" s="161"/>
    </row>
    <row r="20" spans="1:11" x14ac:dyDescent="0.55000000000000004">
      <c r="B20" s="87" t="s">
        <v>232</v>
      </c>
      <c r="D20" s="285">
        <f>SUM(D16:D19)</f>
        <v>2468335</v>
      </c>
      <c r="E20" s="278">
        <f>SUM(E17:E19)</f>
        <v>2937000</v>
      </c>
      <c r="F20" s="290">
        <f>SUM(F17:F19)</f>
        <v>195.31702462412139</v>
      </c>
      <c r="G20" s="342">
        <f>SUM(G17:G19)</f>
        <v>6400</v>
      </c>
      <c r="H20" s="278"/>
      <c r="I20" s="278"/>
      <c r="J20" s="343">
        <f>SUM(J17:J19)</f>
        <v>16118.372499999998</v>
      </c>
      <c r="K20" s="161">
        <f>J20/'Breakeven- avg GP (3)'!F38</f>
        <v>2686.3954166666663</v>
      </c>
    </row>
    <row r="21" spans="1:11" x14ac:dyDescent="0.55000000000000004">
      <c r="K21" s="345"/>
    </row>
    <row r="22" spans="1:11" ht="28.8" x14ac:dyDescent="0.55000000000000004">
      <c r="A22" s="88" t="s">
        <v>246</v>
      </c>
      <c r="B22" s="162"/>
      <c r="C22" s="162" t="s">
        <v>225</v>
      </c>
      <c r="D22" s="280" t="s">
        <v>229</v>
      </c>
      <c r="E22" s="162" t="s">
        <v>230</v>
      </c>
      <c r="F22" s="162" t="s">
        <v>228</v>
      </c>
      <c r="G22" s="340" t="s">
        <v>226</v>
      </c>
      <c r="H22" s="280" t="s">
        <v>205</v>
      </c>
      <c r="I22" s="280" t="s">
        <v>235</v>
      </c>
      <c r="J22" s="346" t="s">
        <v>227</v>
      </c>
      <c r="K22" s="161" t="s">
        <v>247</v>
      </c>
    </row>
    <row r="23" spans="1:11" x14ac:dyDescent="0.55000000000000004">
      <c r="B23" s="309" t="s">
        <v>231</v>
      </c>
      <c r="C23" s="162" t="s">
        <v>221</v>
      </c>
      <c r="D23" s="286">
        <v>1049100</v>
      </c>
      <c r="E23" s="288">
        <f>61000*31</f>
        <v>1891000</v>
      </c>
      <c r="F23" s="281">
        <f>D23/E23*100</f>
        <v>55.478582760444205</v>
      </c>
      <c r="G23" s="341">
        <v>1000</v>
      </c>
      <c r="H23" s="288">
        <f>61000*31</f>
        <v>1891000</v>
      </c>
      <c r="I23" s="282">
        <f>D23/H23*100</f>
        <v>55.478582760444205</v>
      </c>
      <c r="J23" s="346">
        <f>D23*C3</f>
        <v>5245.5</v>
      </c>
      <c r="K23" s="161"/>
    </row>
    <row r="24" spans="1:11" x14ac:dyDescent="0.55000000000000004">
      <c r="B24" s="309"/>
      <c r="C24" s="162" t="s">
        <v>222</v>
      </c>
      <c r="D24" s="286">
        <v>930796</v>
      </c>
      <c r="E24" s="286">
        <f>61000*28</f>
        <v>1708000</v>
      </c>
      <c r="F24" s="281">
        <f t="shared" ref="F24:F26" si="5">D24/E24*100</f>
        <v>54.496252927400469</v>
      </c>
      <c r="G24" s="341"/>
      <c r="H24" s="286">
        <f>61000*28</f>
        <v>1708000</v>
      </c>
      <c r="I24" s="282">
        <f>D24/H24*100</f>
        <v>54.496252927400469</v>
      </c>
      <c r="J24" s="346">
        <f>D24*C3</f>
        <v>4653.9800000000005</v>
      </c>
      <c r="K24" s="161"/>
    </row>
    <row r="25" spans="1:11" x14ac:dyDescent="0.55000000000000004">
      <c r="B25" s="309"/>
      <c r="C25" s="162" t="s">
        <v>223</v>
      </c>
      <c r="D25" s="286">
        <v>892677</v>
      </c>
      <c r="E25" s="286">
        <f>61000*31</f>
        <v>1891000</v>
      </c>
      <c r="F25" s="281">
        <f>D25/E25*100</f>
        <v>47.206610259122158</v>
      </c>
      <c r="G25" s="341"/>
      <c r="H25" s="286">
        <f>61000*31</f>
        <v>1891000</v>
      </c>
      <c r="I25" s="282">
        <f t="shared" ref="I25" si="6">D25/H25*100</f>
        <v>47.206610259122158</v>
      </c>
      <c r="J25" s="346">
        <f t="shared" ref="J25" si="7">D25*C5</f>
        <v>0</v>
      </c>
      <c r="K25" s="161"/>
    </row>
    <row r="26" spans="1:11" x14ac:dyDescent="0.55000000000000004">
      <c r="B26" s="309"/>
      <c r="C26" s="162" t="s">
        <v>224</v>
      </c>
      <c r="D26" s="287">
        <v>1735659</v>
      </c>
      <c r="E26" s="287">
        <f>61000*30</f>
        <v>1830000</v>
      </c>
      <c r="F26" s="281">
        <f t="shared" si="5"/>
        <v>94.844754098360653</v>
      </c>
      <c r="G26" s="341">
        <v>13000</v>
      </c>
      <c r="H26" s="287">
        <f>61000*30</f>
        <v>1830000</v>
      </c>
      <c r="I26" s="282">
        <f>D26/H26*100</f>
        <v>94.844754098360653</v>
      </c>
      <c r="J26" s="346">
        <f>D26*G3</f>
        <v>26034.884999999998</v>
      </c>
      <c r="K26" s="161"/>
    </row>
    <row r="27" spans="1:11" x14ac:dyDescent="0.55000000000000004">
      <c r="B27" s="87" t="s">
        <v>232</v>
      </c>
      <c r="D27" s="278">
        <f>SUM(D23:D26)</f>
        <v>4608232</v>
      </c>
      <c r="E27" s="278">
        <f>SUM(E24:E26)</f>
        <v>5429000</v>
      </c>
      <c r="F27" s="290">
        <f>SUM(F24:F26)</f>
        <v>196.54761728488327</v>
      </c>
      <c r="G27" s="342">
        <f>SUM(G24:G26)</f>
        <v>13000</v>
      </c>
      <c r="H27" s="278"/>
      <c r="I27" s="278"/>
      <c r="J27" s="346">
        <f>SUM(J24:J26)</f>
        <v>30688.864999999998</v>
      </c>
      <c r="K27" s="161">
        <f>J27/'Breakeven- avg GP (3)'!E38</f>
        <v>3836.1081249999997</v>
      </c>
    </row>
    <row r="28" spans="1:11" x14ac:dyDescent="0.55000000000000004">
      <c r="K28" s="345"/>
    </row>
    <row r="29" spans="1:11" ht="28.8" x14ac:dyDescent="0.55000000000000004">
      <c r="B29" s="162"/>
      <c r="C29" s="162" t="s">
        <v>225</v>
      </c>
      <c r="D29" s="280" t="s">
        <v>229</v>
      </c>
      <c r="E29" s="162" t="s">
        <v>230</v>
      </c>
      <c r="F29" s="162" t="s">
        <v>228</v>
      </c>
      <c r="G29" s="340" t="s">
        <v>226</v>
      </c>
      <c r="H29" s="280" t="s">
        <v>205</v>
      </c>
      <c r="I29" s="280" t="s">
        <v>235</v>
      </c>
      <c r="J29" s="346" t="s">
        <v>227</v>
      </c>
      <c r="K29" s="161" t="s">
        <v>247</v>
      </c>
    </row>
    <row r="30" spans="1:11" x14ac:dyDescent="0.55000000000000004">
      <c r="B30" s="309" t="s">
        <v>233</v>
      </c>
      <c r="C30" s="162" t="s">
        <v>221</v>
      </c>
      <c r="D30" s="286">
        <v>194544</v>
      </c>
      <c r="E30" s="288">
        <f>27000*31</f>
        <v>837000</v>
      </c>
      <c r="F30" s="281">
        <f>D30/E30*100</f>
        <v>23.243010752688171</v>
      </c>
      <c r="G30" s="341"/>
      <c r="H30" s="288">
        <f>27000*31</f>
        <v>837000</v>
      </c>
      <c r="I30" s="282">
        <f>D30/H30*100</f>
        <v>23.243010752688171</v>
      </c>
      <c r="J30" s="346"/>
      <c r="K30" s="161"/>
    </row>
    <row r="31" spans="1:11" x14ac:dyDescent="0.55000000000000004">
      <c r="B31" s="309"/>
      <c r="C31" s="162" t="s">
        <v>222</v>
      </c>
      <c r="D31" s="286">
        <v>240130</v>
      </c>
      <c r="E31" s="286">
        <f>27000*28</f>
        <v>756000</v>
      </c>
      <c r="F31" s="281">
        <f t="shared" ref="F31:F33" si="8">D31/E31*100</f>
        <v>31.763227513227516</v>
      </c>
      <c r="G31" s="341"/>
      <c r="H31" s="286">
        <f>27000*28</f>
        <v>756000</v>
      </c>
      <c r="I31" s="282">
        <f t="shared" ref="I31:I33" si="9">D31/H31*100</f>
        <v>31.763227513227516</v>
      </c>
      <c r="J31" s="346"/>
      <c r="K31" s="161"/>
    </row>
    <row r="32" spans="1:11" x14ac:dyDescent="0.55000000000000004">
      <c r="B32" s="309"/>
      <c r="C32" s="162" t="s">
        <v>223</v>
      </c>
      <c r="D32" s="286">
        <v>282406</v>
      </c>
      <c r="E32" s="286">
        <f>27000*31</f>
        <v>837000</v>
      </c>
      <c r="F32" s="281">
        <f>D32/E32*100</f>
        <v>33.740262843488651</v>
      </c>
      <c r="G32" s="341">
        <v>500</v>
      </c>
      <c r="H32" s="286">
        <f>27000*31</f>
        <v>837000</v>
      </c>
      <c r="I32" s="282">
        <f t="shared" si="9"/>
        <v>33.740262843488651</v>
      </c>
      <c r="J32" s="346"/>
      <c r="K32" s="161"/>
    </row>
    <row r="33" spans="2:11" x14ac:dyDescent="0.55000000000000004">
      <c r="B33" s="309"/>
      <c r="C33" s="162" t="s">
        <v>224</v>
      </c>
      <c r="D33" s="287">
        <v>363565</v>
      </c>
      <c r="E33" s="287">
        <f>27000*30</f>
        <v>810000</v>
      </c>
      <c r="F33" s="281">
        <f t="shared" si="8"/>
        <v>44.884567901234568</v>
      </c>
      <c r="G33" s="341"/>
      <c r="H33" s="287">
        <f>27000*30</f>
        <v>810000</v>
      </c>
      <c r="I33" s="282">
        <f t="shared" si="9"/>
        <v>44.884567901234568</v>
      </c>
      <c r="J33" s="346"/>
      <c r="K33" s="161"/>
    </row>
    <row r="34" spans="2:11" x14ac:dyDescent="0.55000000000000004">
      <c r="B34" s="87" t="s">
        <v>232</v>
      </c>
      <c r="D34" s="278">
        <f>SUM(D30:D33)</f>
        <v>1080645</v>
      </c>
      <c r="E34" s="278">
        <f t="shared" ref="E34" si="10">SUM(E30:E33)</f>
        <v>3240000</v>
      </c>
      <c r="F34" s="290">
        <f>SUM(F31:F33)</f>
        <v>110.38805825795075</v>
      </c>
      <c r="G34" s="342">
        <f t="shared" ref="G34" si="11">SUM(G30:G33)</f>
        <v>500</v>
      </c>
      <c r="H34" s="283"/>
      <c r="I34" s="283"/>
      <c r="J34" s="344">
        <f t="shared" ref="J34" si="12">SUM(J30:J33)</f>
        <v>0</v>
      </c>
      <c r="K34" s="161"/>
    </row>
    <row r="35" spans="2:11" x14ac:dyDescent="0.55000000000000004">
      <c r="K35" s="345"/>
    </row>
    <row r="36" spans="2:11" ht="28.8" x14ac:dyDescent="0.55000000000000004">
      <c r="B36" s="162"/>
      <c r="C36" s="162" t="s">
        <v>225</v>
      </c>
      <c r="D36" s="280" t="s">
        <v>229</v>
      </c>
      <c r="E36" s="162" t="s">
        <v>230</v>
      </c>
      <c r="F36" s="162" t="s">
        <v>228</v>
      </c>
      <c r="G36" s="340" t="s">
        <v>226</v>
      </c>
      <c r="H36" s="280" t="s">
        <v>205</v>
      </c>
      <c r="I36" s="280" t="s">
        <v>235</v>
      </c>
      <c r="J36" s="346" t="s">
        <v>227</v>
      </c>
      <c r="K36" s="161" t="s">
        <v>247</v>
      </c>
    </row>
    <row r="37" spans="2:11" x14ac:dyDescent="0.55000000000000004">
      <c r="B37" s="309" t="s">
        <v>18</v>
      </c>
      <c r="C37" s="162" t="s">
        <v>221</v>
      </c>
      <c r="D37" s="286">
        <v>0</v>
      </c>
      <c r="E37" s="288">
        <v>0</v>
      </c>
      <c r="F37" s="281"/>
      <c r="G37" s="341"/>
      <c r="H37" s="282"/>
      <c r="I37" s="282"/>
      <c r="J37" s="346"/>
      <c r="K37" s="161"/>
    </row>
    <row r="38" spans="2:11" x14ac:dyDescent="0.55000000000000004">
      <c r="B38" s="309"/>
      <c r="C38" s="162" t="s">
        <v>222</v>
      </c>
      <c r="D38" s="286">
        <v>0</v>
      </c>
      <c r="E38" s="286">
        <v>0</v>
      </c>
      <c r="F38" s="281"/>
      <c r="G38" s="341"/>
      <c r="H38" s="282"/>
      <c r="I38" s="282"/>
      <c r="J38" s="346"/>
      <c r="K38" s="161"/>
    </row>
    <row r="39" spans="2:11" x14ac:dyDescent="0.55000000000000004">
      <c r="B39" s="309"/>
      <c r="C39" s="162" t="s">
        <v>223</v>
      </c>
      <c r="D39" s="286">
        <v>313181</v>
      </c>
      <c r="E39" s="286">
        <f>30000*16</f>
        <v>480000</v>
      </c>
      <c r="F39" s="281">
        <f>D39/E39*100</f>
        <v>65.24604166666667</v>
      </c>
      <c r="G39" s="341">
        <v>2600</v>
      </c>
      <c r="H39" s="286">
        <f>30000*16</f>
        <v>480000</v>
      </c>
      <c r="I39" s="282">
        <f t="shared" ref="I39:I40" si="13">D39/H39*100</f>
        <v>65.24604166666667</v>
      </c>
      <c r="J39" s="346">
        <f>D39*D3</f>
        <v>2348.8575000000001</v>
      </c>
      <c r="K39" s="161"/>
    </row>
    <row r="40" spans="2:11" x14ac:dyDescent="0.55000000000000004">
      <c r="B40" s="309"/>
      <c r="C40" s="162" t="s">
        <v>224</v>
      </c>
      <c r="D40" s="287">
        <v>853171</v>
      </c>
      <c r="E40" s="289">
        <f>30000*30</f>
        <v>900000</v>
      </c>
      <c r="F40" s="281">
        <f t="shared" ref="F40" si="14">D40/E40*100</f>
        <v>94.796777777777777</v>
      </c>
      <c r="G40" s="341">
        <f>4500+4900</f>
        <v>9400</v>
      </c>
      <c r="H40" s="289">
        <f>30000*30</f>
        <v>900000</v>
      </c>
      <c r="I40" s="282">
        <f t="shared" si="13"/>
        <v>94.796777777777777</v>
      </c>
      <c r="J40" s="346">
        <f>D40*G3</f>
        <v>12797.564999999999</v>
      </c>
      <c r="K40" s="161"/>
    </row>
    <row r="41" spans="2:11" x14ac:dyDescent="0.55000000000000004">
      <c r="B41" s="87" t="s">
        <v>232</v>
      </c>
      <c r="D41" s="278">
        <f>SUM(D37:D40)</f>
        <v>1166352</v>
      </c>
      <c r="E41" s="278">
        <f t="shared" ref="E41" si="15">SUM(E37:E40)</f>
        <v>1380000</v>
      </c>
      <c r="F41" s="290"/>
      <c r="G41" s="342">
        <f t="shared" ref="G41" si="16">SUM(G37:G40)</f>
        <v>12000</v>
      </c>
      <c r="H41" s="283"/>
      <c r="I41" s="283"/>
      <c r="J41" s="347">
        <f t="shared" ref="J41" si="17">SUM(J37:J40)</f>
        <v>15146.422499999999</v>
      </c>
      <c r="K41" s="161">
        <f>J41/'Breakeven- avg GP (3)'!M38</f>
        <v>2524.4037499999999</v>
      </c>
    </row>
    <row r="42" spans="2:11" x14ac:dyDescent="0.55000000000000004">
      <c r="K42" s="345"/>
    </row>
    <row r="43" spans="2:11" ht="28.8" x14ac:dyDescent="0.55000000000000004">
      <c r="B43" s="162"/>
      <c r="C43" s="162" t="s">
        <v>225</v>
      </c>
      <c r="D43" s="280" t="s">
        <v>229</v>
      </c>
      <c r="E43" s="162" t="s">
        <v>230</v>
      </c>
      <c r="F43" s="162" t="s">
        <v>228</v>
      </c>
      <c r="G43" s="340" t="s">
        <v>226</v>
      </c>
      <c r="H43" s="280" t="s">
        <v>205</v>
      </c>
      <c r="I43" s="280" t="s">
        <v>235</v>
      </c>
      <c r="J43" s="346" t="s">
        <v>227</v>
      </c>
      <c r="K43" s="161" t="s">
        <v>247</v>
      </c>
    </row>
    <row r="44" spans="2:11" x14ac:dyDescent="0.55000000000000004">
      <c r="B44" s="309" t="s">
        <v>16</v>
      </c>
      <c r="C44" s="162" t="s">
        <v>221</v>
      </c>
      <c r="D44" s="286">
        <v>0</v>
      </c>
      <c r="E44" s="288">
        <v>0</v>
      </c>
      <c r="F44" s="281"/>
      <c r="G44" s="341"/>
      <c r="H44" s="282"/>
      <c r="I44" s="282"/>
      <c r="J44" s="346"/>
      <c r="K44" s="161"/>
    </row>
    <row r="45" spans="2:11" x14ac:dyDescent="0.55000000000000004">
      <c r="B45" s="309"/>
      <c r="C45" s="162" t="s">
        <v>222</v>
      </c>
      <c r="D45" s="286">
        <v>0</v>
      </c>
      <c r="E45" s="286">
        <v>0</v>
      </c>
      <c r="F45" s="281"/>
      <c r="G45" s="341"/>
      <c r="H45" s="282"/>
      <c r="I45" s="282"/>
      <c r="J45" s="346"/>
      <c r="K45" s="161"/>
    </row>
    <row r="46" spans="2:11" x14ac:dyDescent="0.55000000000000004">
      <c r="B46" s="309"/>
      <c r="C46" s="162" t="s">
        <v>223</v>
      </c>
      <c r="D46" s="286">
        <v>321609</v>
      </c>
      <c r="E46" s="141">
        <f>35000*25</f>
        <v>875000</v>
      </c>
      <c r="F46" s="281">
        <f>D46/E46*100</f>
        <v>36.755314285714284</v>
      </c>
      <c r="G46" s="341"/>
      <c r="H46" s="141">
        <f>35000*25</f>
        <v>875000</v>
      </c>
      <c r="I46" s="282">
        <f t="shared" ref="I46:I47" si="18">D46/H46*100</f>
        <v>36.755314285714284</v>
      </c>
      <c r="J46" s="346"/>
      <c r="K46" s="161"/>
    </row>
    <row r="47" spans="2:11" x14ac:dyDescent="0.55000000000000004">
      <c r="B47" s="309"/>
      <c r="C47" s="162" t="s">
        <v>224</v>
      </c>
      <c r="D47" s="287">
        <v>616015</v>
      </c>
      <c r="E47" s="289">
        <f>35000*30</f>
        <v>1050000</v>
      </c>
      <c r="F47" s="281">
        <f t="shared" ref="F47" si="19">D47/E47*100</f>
        <v>58.668095238095241</v>
      </c>
      <c r="G47" s="341">
        <v>800</v>
      </c>
      <c r="H47" s="289">
        <f>35000*30</f>
        <v>1050000</v>
      </c>
      <c r="I47" s="282">
        <f t="shared" si="18"/>
        <v>58.668095238095241</v>
      </c>
      <c r="J47" s="346">
        <f>D47*C3</f>
        <v>3080.0750000000003</v>
      </c>
      <c r="K47" s="161"/>
    </row>
    <row r="48" spans="2:11" x14ac:dyDescent="0.55000000000000004">
      <c r="B48" s="87" t="s">
        <v>232</v>
      </c>
      <c r="D48" s="278">
        <f>SUM(D44:D47)</f>
        <v>937624</v>
      </c>
      <c r="E48" s="278">
        <f t="shared" ref="E48" si="20">SUM(E44:E47)</f>
        <v>1925000</v>
      </c>
      <c r="F48" s="290"/>
      <c r="G48" s="342">
        <f t="shared" ref="G48" si="21">SUM(G44:G47)</f>
        <v>800</v>
      </c>
      <c r="H48" s="283"/>
      <c r="I48" s="283"/>
      <c r="J48" s="347">
        <f t="shared" ref="J48" si="22">SUM(J44:J47)</f>
        <v>3080.0750000000003</v>
      </c>
      <c r="K48" s="161">
        <f>J48/'Breakeven- avg GP (3)'!K38</f>
        <v>513.34583333333342</v>
      </c>
    </row>
    <row r="49" spans="2:11" x14ac:dyDescent="0.55000000000000004">
      <c r="K49" s="345"/>
    </row>
    <row r="50" spans="2:11" ht="28.8" x14ac:dyDescent="0.55000000000000004">
      <c r="B50" s="162"/>
      <c r="C50" s="162" t="s">
        <v>225</v>
      </c>
      <c r="D50" s="280" t="s">
        <v>229</v>
      </c>
      <c r="E50" s="162" t="s">
        <v>230</v>
      </c>
      <c r="F50" s="162" t="s">
        <v>228</v>
      </c>
      <c r="G50" s="340" t="s">
        <v>226</v>
      </c>
      <c r="H50" s="280" t="s">
        <v>205</v>
      </c>
      <c r="I50" s="280" t="s">
        <v>235</v>
      </c>
      <c r="J50" s="346" t="s">
        <v>227</v>
      </c>
      <c r="K50" s="161" t="s">
        <v>247</v>
      </c>
    </row>
    <row r="51" spans="2:11" x14ac:dyDescent="0.55000000000000004">
      <c r="B51" s="309" t="s">
        <v>234</v>
      </c>
      <c r="C51" s="162" t="s">
        <v>221</v>
      </c>
      <c r="D51" s="286">
        <v>0</v>
      </c>
      <c r="E51" s="288">
        <v>0</v>
      </c>
      <c r="F51" s="281"/>
      <c r="G51" s="341"/>
      <c r="H51" s="282"/>
      <c r="I51" s="282"/>
      <c r="J51" s="346"/>
      <c r="K51" s="161"/>
    </row>
    <row r="52" spans="2:11" x14ac:dyDescent="0.55000000000000004">
      <c r="B52" s="309"/>
      <c r="C52" s="162" t="s">
        <v>222</v>
      </c>
      <c r="D52" s="286">
        <v>0</v>
      </c>
      <c r="E52" s="286">
        <v>0</v>
      </c>
      <c r="F52" s="281"/>
      <c r="G52" s="341"/>
      <c r="H52" s="282"/>
      <c r="I52" s="282"/>
      <c r="J52" s="346"/>
      <c r="K52" s="161"/>
    </row>
    <row r="53" spans="2:11" x14ac:dyDescent="0.55000000000000004">
      <c r="B53" s="309"/>
      <c r="C53" s="162" t="s">
        <v>223</v>
      </c>
      <c r="D53" s="286">
        <v>147476</v>
      </c>
      <c r="E53" s="141">
        <f>25000*19</f>
        <v>475000</v>
      </c>
      <c r="F53" s="281">
        <f>D53/E53*100</f>
        <v>31.047578947368422</v>
      </c>
      <c r="G53" s="341"/>
      <c r="H53" s="141">
        <f>25000*19</f>
        <v>475000</v>
      </c>
      <c r="I53" s="282">
        <f t="shared" ref="I53:I54" si="23">D53/H53*100</f>
        <v>31.047578947368422</v>
      </c>
      <c r="J53" s="346"/>
      <c r="K53" s="161"/>
    </row>
    <row r="54" spans="2:11" x14ac:dyDescent="0.55000000000000004">
      <c r="B54" s="309"/>
      <c r="C54" s="162" t="s">
        <v>224</v>
      </c>
      <c r="D54" s="287">
        <v>432347</v>
      </c>
      <c r="E54" s="289">
        <f>25000*30</f>
        <v>750000</v>
      </c>
      <c r="F54" s="281">
        <f t="shared" ref="F54" si="24">D54/E54*100</f>
        <v>57.646266666666669</v>
      </c>
      <c r="G54" s="341">
        <v>1000</v>
      </c>
      <c r="H54" s="289">
        <f>25000*30</f>
        <v>750000</v>
      </c>
      <c r="I54" s="282">
        <f t="shared" si="23"/>
        <v>57.646266666666669</v>
      </c>
      <c r="J54" s="346">
        <f>D54*C3</f>
        <v>2161.7350000000001</v>
      </c>
      <c r="K54" s="161"/>
    </row>
    <row r="55" spans="2:11" x14ac:dyDescent="0.55000000000000004">
      <c r="B55" s="87" t="s">
        <v>232</v>
      </c>
      <c r="D55" s="278">
        <f>SUM(D51:D54)</f>
        <v>579823</v>
      </c>
      <c r="E55" s="278">
        <f t="shared" ref="E55" si="25">SUM(E51:E54)</f>
        <v>1225000</v>
      </c>
      <c r="F55" s="290"/>
      <c r="G55" s="342">
        <f t="shared" ref="G55" si="26">SUM(G51:G54)</f>
        <v>1000</v>
      </c>
      <c r="H55" s="283"/>
      <c r="I55" s="283"/>
      <c r="J55" s="347">
        <f t="shared" ref="J55" si="27">SUM(J51:J54)</f>
        <v>2161.7350000000001</v>
      </c>
      <c r="K55" s="161">
        <f>J55/'Breakeven- avg GP (3)'!L38</f>
        <v>540.43375000000003</v>
      </c>
    </row>
    <row r="56" spans="2:11" x14ac:dyDescent="0.55000000000000004">
      <c r="K56" s="345"/>
    </row>
    <row r="57" spans="2:11" ht="28.8" x14ac:dyDescent="0.55000000000000004">
      <c r="B57" s="162"/>
      <c r="C57" s="162" t="s">
        <v>225</v>
      </c>
      <c r="D57" s="280" t="s">
        <v>229</v>
      </c>
      <c r="E57" s="162" t="s">
        <v>230</v>
      </c>
      <c r="F57" s="162" t="s">
        <v>228</v>
      </c>
      <c r="G57" s="340" t="s">
        <v>226</v>
      </c>
      <c r="H57" s="280" t="s">
        <v>205</v>
      </c>
      <c r="I57" s="280" t="s">
        <v>235</v>
      </c>
      <c r="J57" s="346" t="s">
        <v>227</v>
      </c>
      <c r="K57" s="161" t="s">
        <v>247</v>
      </c>
    </row>
    <row r="58" spans="2:11" x14ac:dyDescent="0.55000000000000004">
      <c r="B58" s="309" t="s">
        <v>15</v>
      </c>
      <c r="C58" s="162" t="s">
        <v>221</v>
      </c>
      <c r="D58" s="286">
        <v>67097</v>
      </c>
      <c r="E58" s="288">
        <f>21000*10</f>
        <v>210000</v>
      </c>
      <c r="F58" s="281">
        <f>D58/E58*100</f>
        <v>31.95095238095238</v>
      </c>
      <c r="G58" s="341"/>
      <c r="H58" s="288">
        <f>21000*10</f>
        <v>210000</v>
      </c>
      <c r="I58" s="282">
        <f t="shared" ref="I58:I61" si="28">D58/H58*100</f>
        <v>31.95095238095238</v>
      </c>
      <c r="J58" s="346"/>
      <c r="K58" s="161"/>
    </row>
    <row r="59" spans="2:11" x14ac:dyDescent="0.55000000000000004">
      <c r="B59" s="309"/>
      <c r="C59" s="162" t="s">
        <v>222</v>
      </c>
      <c r="D59" s="286">
        <v>237114</v>
      </c>
      <c r="E59" s="141">
        <f>21000*28</f>
        <v>588000</v>
      </c>
      <c r="F59" s="281">
        <f t="shared" ref="F59:F61" si="29">D59/E59*100</f>
        <v>40.325510204081631</v>
      </c>
      <c r="G59" s="341"/>
      <c r="H59" s="141">
        <f>21000*28</f>
        <v>588000</v>
      </c>
      <c r="I59" s="282">
        <f t="shared" si="28"/>
        <v>40.325510204081631</v>
      </c>
      <c r="J59" s="346"/>
      <c r="K59" s="161"/>
    </row>
    <row r="60" spans="2:11" x14ac:dyDescent="0.55000000000000004">
      <c r="B60" s="309"/>
      <c r="C60" s="162" t="s">
        <v>223</v>
      </c>
      <c r="D60" s="286">
        <v>246487</v>
      </c>
      <c r="E60" s="141">
        <f>21000*31</f>
        <v>651000</v>
      </c>
      <c r="F60" s="281">
        <f>D60/E60*100</f>
        <v>37.86282642089094</v>
      </c>
      <c r="G60" s="341"/>
      <c r="H60" s="141">
        <f>21000*31</f>
        <v>651000</v>
      </c>
      <c r="I60" s="282">
        <f t="shared" si="28"/>
        <v>37.86282642089094</v>
      </c>
      <c r="J60" s="346"/>
      <c r="K60" s="161"/>
    </row>
    <row r="61" spans="2:11" x14ac:dyDescent="0.55000000000000004">
      <c r="B61" s="309"/>
      <c r="C61" s="162" t="s">
        <v>224</v>
      </c>
      <c r="D61" s="287">
        <v>373554</v>
      </c>
      <c r="E61" s="289">
        <f>21000*30</f>
        <v>630000</v>
      </c>
      <c r="F61" s="281">
        <f t="shared" si="29"/>
        <v>59.294285714285714</v>
      </c>
      <c r="G61" s="341">
        <v>1000</v>
      </c>
      <c r="H61" s="289">
        <f>21000*30</f>
        <v>630000</v>
      </c>
      <c r="I61" s="282">
        <f t="shared" si="28"/>
        <v>59.294285714285714</v>
      </c>
      <c r="J61" s="346">
        <f>D61*C3</f>
        <v>1867.77</v>
      </c>
      <c r="K61" s="161"/>
    </row>
    <row r="62" spans="2:11" x14ac:dyDescent="0.55000000000000004">
      <c r="B62" s="87" t="s">
        <v>232</v>
      </c>
      <c r="D62" s="278">
        <f>SUM(D58:D61)</f>
        <v>924252</v>
      </c>
      <c r="E62" s="278">
        <f t="shared" ref="E62" si="30">SUM(E58:E61)</f>
        <v>2079000</v>
      </c>
      <c r="F62" s="290">
        <f>SUM(F59:F61)</f>
        <v>137.48262233925828</v>
      </c>
      <c r="G62" s="342">
        <f t="shared" ref="G62" si="31">SUM(G58:G61)</f>
        <v>1000</v>
      </c>
      <c r="H62" s="283"/>
      <c r="I62" s="283"/>
      <c r="J62" s="347">
        <f t="shared" ref="J62" si="32">SUM(J58:J61)</f>
        <v>1867.77</v>
      </c>
      <c r="K62" s="161">
        <f>J62/'Breakeven- avg GP (3)'!J38</f>
        <v>622.59</v>
      </c>
    </row>
    <row r="63" spans="2:11" x14ac:dyDescent="0.55000000000000004">
      <c r="K63" s="345"/>
    </row>
    <row r="64" spans="2:11" ht="28.8" x14ac:dyDescent="0.55000000000000004">
      <c r="B64" s="162"/>
      <c r="C64" s="162" t="s">
        <v>225</v>
      </c>
      <c r="D64" s="280" t="s">
        <v>229</v>
      </c>
      <c r="E64" s="162" t="s">
        <v>230</v>
      </c>
      <c r="F64" s="162" t="s">
        <v>228</v>
      </c>
      <c r="G64" s="340" t="s">
        <v>226</v>
      </c>
      <c r="H64" s="280" t="s">
        <v>205</v>
      </c>
      <c r="I64" s="280" t="s">
        <v>235</v>
      </c>
      <c r="J64" s="346" t="s">
        <v>227</v>
      </c>
      <c r="K64" s="161" t="s">
        <v>247</v>
      </c>
    </row>
    <row r="65" spans="2:11" x14ac:dyDescent="0.55000000000000004">
      <c r="B65" s="309" t="s">
        <v>236</v>
      </c>
      <c r="C65" s="162" t="s">
        <v>221</v>
      </c>
      <c r="D65" s="286">
        <v>393324</v>
      </c>
      <c r="E65" s="288">
        <f>40000*31</f>
        <v>1240000</v>
      </c>
      <c r="F65" s="281">
        <f>D65/E65*100</f>
        <v>31.719677419354841</v>
      </c>
      <c r="G65" s="341"/>
      <c r="H65" s="288">
        <f>40000*31</f>
        <v>1240000</v>
      </c>
      <c r="I65" s="282">
        <f t="shared" ref="I65:I68" si="33">D65/H65*100</f>
        <v>31.719677419354841</v>
      </c>
      <c r="J65" s="346"/>
      <c r="K65" s="161"/>
    </row>
    <row r="66" spans="2:11" x14ac:dyDescent="0.55000000000000004">
      <c r="B66" s="309"/>
      <c r="C66" s="162" t="s">
        <v>222</v>
      </c>
      <c r="D66" s="286">
        <v>381242</v>
      </c>
      <c r="E66" s="286">
        <f>40000*28</f>
        <v>1120000</v>
      </c>
      <c r="F66" s="281">
        <f t="shared" ref="F66:F68" si="34">D66/E66*100</f>
        <v>34.039464285714288</v>
      </c>
      <c r="G66" s="341"/>
      <c r="H66" s="286">
        <f>40000*28</f>
        <v>1120000</v>
      </c>
      <c r="I66" s="282">
        <f t="shared" si="33"/>
        <v>34.039464285714288</v>
      </c>
      <c r="J66" s="346"/>
      <c r="K66" s="161"/>
    </row>
    <row r="67" spans="2:11" x14ac:dyDescent="0.55000000000000004">
      <c r="B67" s="309"/>
      <c r="C67" s="162" t="s">
        <v>223</v>
      </c>
      <c r="D67" s="286">
        <v>315342</v>
      </c>
      <c r="E67" s="286">
        <f>40000*31</f>
        <v>1240000</v>
      </c>
      <c r="F67" s="281">
        <f>D67/E67*100</f>
        <v>25.430806451612902</v>
      </c>
      <c r="G67" s="341"/>
      <c r="H67" s="286">
        <f>40000*31</f>
        <v>1240000</v>
      </c>
      <c r="I67" s="282">
        <f t="shared" si="33"/>
        <v>25.430806451612902</v>
      </c>
      <c r="J67" s="346"/>
      <c r="K67" s="161"/>
    </row>
    <row r="68" spans="2:11" x14ac:dyDescent="0.55000000000000004">
      <c r="B68" s="309"/>
      <c r="C68" s="162" t="s">
        <v>224</v>
      </c>
      <c r="D68" s="287">
        <v>449979</v>
      </c>
      <c r="E68" s="287">
        <f>40000*30</f>
        <v>1200000</v>
      </c>
      <c r="F68" s="281">
        <f t="shared" si="34"/>
        <v>37.498249999999999</v>
      </c>
      <c r="G68" s="341">
        <v>1000</v>
      </c>
      <c r="H68" s="287">
        <f>40000*30</f>
        <v>1200000</v>
      </c>
      <c r="I68" s="282">
        <f t="shared" si="33"/>
        <v>37.498249999999999</v>
      </c>
      <c r="J68" s="346"/>
      <c r="K68" s="161"/>
    </row>
    <row r="69" spans="2:11" x14ac:dyDescent="0.55000000000000004">
      <c r="B69" s="87" t="s">
        <v>232</v>
      </c>
      <c r="D69" s="278">
        <f>SUM(D65:D68)</f>
        <v>1539887</v>
      </c>
      <c r="E69" s="278">
        <f t="shared" ref="E69" si="35">SUM(E65:E68)</f>
        <v>4800000</v>
      </c>
      <c r="F69" s="290">
        <f>SUM(F66:F68)</f>
        <v>96.968520737327196</v>
      </c>
      <c r="G69" s="342">
        <f t="shared" ref="G69" si="36">SUM(G65:G68)</f>
        <v>1000</v>
      </c>
      <c r="H69" s="283"/>
      <c r="I69" s="283"/>
      <c r="J69" s="348">
        <f t="shared" ref="J69" si="37">SUM(J65:J68)</f>
        <v>0</v>
      </c>
      <c r="K69" s="161"/>
    </row>
    <row r="70" spans="2:11" x14ac:dyDescent="0.55000000000000004">
      <c r="K70" s="345"/>
    </row>
    <row r="71" spans="2:11" ht="28.8" x14ac:dyDescent="0.55000000000000004">
      <c r="B71" s="162"/>
      <c r="C71" s="162" t="s">
        <v>225</v>
      </c>
      <c r="D71" s="280" t="s">
        <v>229</v>
      </c>
      <c r="E71" s="162" t="s">
        <v>230</v>
      </c>
      <c r="F71" s="162" t="s">
        <v>228</v>
      </c>
      <c r="G71" s="340" t="s">
        <v>226</v>
      </c>
      <c r="H71" s="280" t="s">
        <v>205</v>
      </c>
      <c r="I71" s="280" t="s">
        <v>235</v>
      </c>
      <c r="J71" s="346" t="s">
        <v>227</v>
      </c>
      <c r="K71" s="161" t="s">
        <v>247</v>
      </c>
    </row>
    <row r="72" spans="2:11" x14ac:dyDescent="0.55000000000000004">
      <c r="B72" s="309" t="s">
        <v>13</v>
      </c>
      <c r="C72" s="162" t="s">
        <v>221</v>
      </c>
      <c r="D72" s="286">
        <v>257562</v>
      </c>
      <c r="E72" s="288">
        <f>44000*31</f>
        <v>1364000</v>
      </c>
      <c r="F72" s="281">
        <f>D72/E72*100</f>
        <v>18.882844574780059</v>
      </c>
      <c r="G72" s="341"/>
      <c r="H72" s="288">
        <f>44000*31</f>
        <v>1364000</v>
      </c>
      <c r="I72" s="282">
        <f t="shared" ref="I72:I75" si="38">D72/H72*100</f>
        <v>18.882844574780059</v>
      </c>
      <c r="J72" s="346"/>
      <c r="K72" s="161"/>
    </row>
    <row r="73" spans="2:11" x14ac:dyDescent="0.55000000000000004">
      <c r="B73" s="309"/>
      <c r="C73" s="162" t="s">
        <v>222</v>
      </c>
      <c r="D73" s="286">
        <v>342621</v>
      </c>
      <c r="E73" s="286">
        <f>44000*28</f>
        <v>1232000</v>
      </c>
      <c r="F73" s="281">
        <f t="shared" ref="F73:F75" si="39">D73/E73*100</f>
        <v>27.810146103896106</v>
      </c>
      <c r="G73" s="341"/>
      <c r="H73" s="286">
        <f>44000*28</f>
        <v>1232000</v>
      </c>
      <c r="I73" s="282">
        <f t="shared" si="38"/>
        <v>27.810146103896106</v>
      </c>
      <c r="J73" s="346"/>
      <c r="K73" s="161"/>
    </row>
    <row r="74" spans="2:11" x14ac:dyDescent="0.55000000000000004">
      <c r="B74" s="309"/>
      <c r="C74" s="162" t="s">
        <v>223</v>
      </c>
      <c r="D74" s="286">
        <v>347400</v>
      </c>
      <c r="E74" s="286">
        <f>44000*31</f>
        <v>1364000</v>
      </c>
      <c r="F74" s="281">
        <f>D74/E74*100</f>
        <v>25.469208211143695</v>
      </c>
      <c r="G74" s="341"/>
      <c r="H74" s="286">
        <f>44000*31</f>
        <v>1364000</v>
      </c>
      <c r="I74" s="282">
        <f t="shared" si="38"/>
        <v>25.469208211143695</v>
      </c>
      <c r="J74" s="346"/>
      <c r="K74" s="161"/>
    </row>
    <row r="75" spans="2:11" x14ac:dyDescent="0.55000000000000004">
      <c r="B75" s="309"/>
      <c r="C75" s="162" t="s">
        <v>224</v>
      </c>
      <c r="D75" s="287">
        <v>424394</v>
      </c>
      <c r="E75" s="287">
        <f>44000*30</f>
        <v>1320000</v>
      </c>
      <c r="F75" s="281">
        <f t="shared" si="39"/>
        <v>32.151060606060604</v>
      </c>
      <c r="G75" s="341">
        <v>1000</v>
      </c>
      <c r="H75" s="287">
        <f>44000*30</f>
        <v>1320000</v>
      </c>
      <c r="I75" s="282">
        <f t="shared" si="38"/>
        <v>32.151060606060604</v>
      </c>
      <c r="J75" s="346"/>
      <c r="K75" s="161"/>
    </row>
    <row r="76" spans="2:11" x14ac:dyDescent="0.55000000000000004">
      <c r="B76" s="87" t="s">
        <v>232</v>
      </c>
      <c r="D76" s="278">
        <f>SUM(D72:D75)</f>
        <v>1371977</v>
      </c>
      <c r="E76" s="278">
        <f t="shared" ref="E76" si="40">SUM(E72:E75)</f>
        <v>5280000</v>
      </c>
      <c r="F76" s="290">
        <f>SUM(F73:F75)</f>
        <v>85.430414921100407</v>
      </c>
      <c r="G76" s="342">
        <f t="shared" ref="G76" si="41">SUM(G72:G75)</f>
        <v>1000</v>
      </c>
      <c r="H76" s="283"/>
      <c r="I76" s="283"/>
      <c r="J76" s="348">
        <f t="shared" ref="J76" si="42">SUM(J72:J75)</f>
        <v>0</v>
      </c>
      <c r="K76" s="161"/>
    </row>
    <row r="81" spans="2:5" x14ac:dyDescent="0.55000000000000004">
      <c r="B81" s="304" t="s">
        <v>36</v>
      </c>
      <c r="C81" s="304"/>
      <c r="D81" s="306" t="s">
        <v>187</v>
      </c>
      <c r="E81" s="308"/>
    </row>
    <row r="82" spans="2:5" ht="14.7" thickBot="1" x14ac:dyDescent="0.6">
      <c r="B82" s="305"/>
      <c r="C82" s="305"/>
      <c r="D82" s="254">
        <v>0.05</v>
      </c>
      <c r="E82" s="255">
        <v>0.1</v>
      </c>
    </row>
    <row r="83" spans="2:5" x14ac:dyDescent="0.55000000000000004">
      <c r="B83" s="256" t="s">
        <v>10</v>
      </c>
      <c r="C83" s="257"/>
      <c r="D83" s="260">
        <v>31062.395468932202</v>
      </c>
      <c r="E83" s="261">
        <v>39690.838654746702</v>
      </c>
    </row>
    <row r="84" spans="2:5" x14ac:dyDescent="0.55000000000000004">
      <c r="B84" s="263" t="s">
        <v>37</v>
      </c>
      <c r="C84" s="264"/>
      <c r="D84" s="260">
        <v>58670.21156088623</v>
      </c>
      <c r="E84" s="261">
        <v>74967.492550021285</v>
      </c>
    </row>
    <row r="85" spans="2:5" x14ac:dyDescent="0.55000000000000004">
      <c r="B85" s="263" t="s">
        <v>11</v>
      </c>
      <c r="C85" s="264"/>
      <c r="D85" s="260">
        <v>46218.917208062638</v>
      </c>
      <c r="E85" s="261">
        <v>59057.505321413373</v>
      </c>
    </row>
    <row r="86" spans="2:5" x14ac:dyDescent="0.55000000000000004">
      <c r="B86" s="263" t="s">
        <v>12</v>
      </c>
      <c r="C86" s="264"/>
      <c r="D86" s="260">
        <v>43908.91720806263</v>
      </c>
      <c r="E86" s="261">
        <v>56105.838654746694</v>
      </c>
    </row>
    <row r="87" spans="2:5" x14ac:dyDescent="0.55000000000000004">
      <c r="B87" s="263" t="s">
        <v>13</v>
      </c>
      <c r="C87" s="264"/>
      <c r="D87" s="260">
        <v>46659.351990671334</v>
      </c>
      <c r="E87" s="261">
        <v>59620.283099191147</v>
      </c>
    </row>
    <row r="88" spans="2:5" x14ac:dyDescent="0.55000000000000004">
      <c r="B88" s="263" t="s">
        <v>14</v>
      </c>
      <c r="C88" s="264"/>
      <c r="D88" s="260">
        <v>37233.120106613365</v>
      </c>
      <c r="E88" s="261">
        <v>47575.653469561519</v>
      </c>
    </row>
    <row r="89" spans="2:5" x14ac:dyDescent="0.55000000000000004">
      <c r="B89" s="294" t="s">
        <v>15</v>
      </c>
      <c r="C89" s="295"/>
      <c r="D89" s="260">
        <v>23749.893386640015</v>
      </c>
      <c r="E89" s="261">
        <v>30347.085994040015</v>
      </c>
    </row>
    <row r="90" spans="2:5" x14ac:dyDescent="0.55000000000000004">
      <c r="B90" s="294" t="s">
        <v>16</v>
      </c>
      <c r="C90" s="295"/>
      <c r="D90" s="260">
        <v>36018.917208062638</v>
      </c>
      <c r="E90" s="261">
        <v>46024.171988080045</v>
      </c>
    </row>
    <row r="91" spans="2:5" x14ac:dyDescent="0.55000000000000004">
      <c r="B91" s="294" t="s">
        <v>17</v>
      </c>
      <c r="C91" s="295"/>
      <c r="D91" s="260">
        <v>26752.642012327167</v>
      </c>
      <c r="E91" s="261">
        <v>34183.931460195825</v>
      </c>
    </row>
    <row r="92" spans="2:5" x14ac:dyDescent="0.55000000000000004">
      <c r="B92" s="294" t="s">
        <v>18</v>
      </c>
      <c r="C92" s="295"/>
      <c r="D92" s="260">
        <v>33145.728802265534</v>
      </c>
      <c r="E92" s="261">
        <v>42352.875691783745</v>
      </c>
    </row>
    <row r="93" spans="2:5" x14ac:dyDescent="0.55000000000000004">
      <c r="B93" s="294" t="s">
        <v>19</v>
      </c>
      <c r="C93" s="295"/>
      <c r="D93" s="260">
        <v>22303.806430118275</v>
      </c>
      <c r="E93" s="261">
        <v>28499.308216262238</v>
      </c>
    </row>
    <row r="94" spans="2:5" x14ac:dyDescent="0.55000000000000004">
      <c r="B94" s="296" t="s">
        <v>41</v>
      </c>
      <c r="C94" s="297"/>
      <c r="D94" s="260">
        <v>32270.12493753124</v>
      </c>
      <c r="E94" s="261">
        <v>41234.048531289918</v>
      </c>
    </row>
  </sheetData>
  <mergeCells count="19">
    <mergeCell ref="B93:C93"/>
    <mergeCell ref="B94:C94"/>
    <mergeCell ref="B81:C82"/>
    <mergeCell ref="D81:E81"/>
    <mergeCell ref="B89:C89"/>
    <mergeCell ref="B90:C90"/>
    <mergeCell ref="B91:C91"/>
    <mergeCell ref="B92:C92"/>
    <mergeCell ref="B37:B40"/>
    <mergeCell ref="B44:B47"/>
    <mergeCell ref="B51:B54"/>
    <mergeCell ref="B58:B61"/>
    <mergeCell ref="B65:B68"/>
    <mergeCell ref="B72:B75"/>
    <mergeCell ref="B8:B11"/>
    <mergeCell ref="D14:E14"/>
    <mergeCell ref="B16:B19"/>
    <mergeCell ref="B23:B26"/>
    <mergeCell ref="B30:B3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5B22-DF4A-40F7-9D99-7FBD13DCA100}">
  <sheetPr>
    <pageSetUpPr fitToPage="1"/>
  </sheetPr>
  <dimension ref="A1:R96"/>
  <sheetViews>
    <sheetView showGridLines="0" zoomScaleNormal="100" workbookViewId="0">
      <pane xSplit="9" ySplit="6" topLeftCell="J31" activePane="bottomRight" state="frozen"/>
      <selection pane="topRight" activeCell="J1" sqref="J1"/>
      <selection pane="bottomLeft" activeCell="A7" sqref="A7"/>
      <selection pane="bottomRight" activeCell="L43" sqref="L43"/>
    </sheetView>
  </sheetViews>
  <sheetFormatPr defaultColWidth="9.15625" defaultRowHeight="14.4" x14ac:dyDescent="0.55000000000000004"/>
  <cols>
    <col min="1" max="1" width="2.83984375" style="25" customWidth="1"/>
    <col min="2" max="2" width="26.578125" style="25" customWidth="1"/>
    <col min="3" max="3" width="3.578125" style="25" customWidth="1"/>
    <col min="4" max="4" width="10.578125" style="25" customWidth="1"/>
    <col min="5" max="5" width="10.83984375" style="25" customWidth="1"/>
    <col min="6" max="6" width="11.26171875" style="25" customWidth="1"/>
    <col min="7" max="7" width="10.26171875" style="25" customWidth="1"/>
    <col min="8" max="8" width="10.41796875" style="25" customWidth="1"/>
    <col min="9" max="9" width="9.68359375" style="25" customWidth="1"/>
    <col min="10" max="10" width="13.47265625" style="178" bestFit="1" customWidth="1"/>
    <col min="11" max="11" width="14.734375" style="25" customWidth="1"/>
    <col min="12" max="12" width="10" style="25" customWidth="1"/>
    <col min="13" max="13" width="10.68359375" style="25" customWidth="1"/>
    <col min="14" max="15" width="10" style="25" customWidth="1"/>
    <col min="16" max="16" width="11" style="25" customWidth="1"/>
    <col min="17" max="18" width="9.15625" style="25"/>
    <col min="19" max="19" width="9.578125" style="25" bestFit="1" customWidth="1"/>
    <col min="20" max="20" width="11.41796875" style="25" customWidth="1"/>
    <col min="21" max="16384" width="9.15625" style="25"/>
  </cols>
  <sheetData>
    <row r="1" spans="2:16" ht="45" customHeight="1" thickBot="1" x14ac:dyDescent="0.6">
      <c r="B1" s="85" t="s">
        <v>5</v>
      </c>
      <c r="C1" s="179"/>
      <c r="D1" s="85" t="s">
        <v>10</v>
      </c>
      <c r="E1" s="85" t="s">
        <v>37</v>
      </c>
      <c r="F1" s="85" t="s">
        <v>11</v>
      </c>
      <c r="G1" s="85" t="s">
        <v>12</v>
      </c>
      <c r="H1" s="85" t="s">
        <v>13</v>
      </c>
      <c r="I1" s="85" t="s">
        <v>14</v>
      </c>
      <c r="J1" s="168" t="s">
        <v>15</v>
      </c>
      <c r="K1" s="85" t="s">
        <v>16</v>
      </c>
      <c r="L1" s="85" t="s">
        <v>17</v>
      </c>
      <c r="M1" s="85" t="s">
        <v>18</v>
      </c>
      <c r="N1" s="85" t="s">
        <v>19</v>
      </c>
      <c r="O1" s="85" t="s">
        <v>41</v>
      </c>
      <c r="P1" s="11"/>
    </row>
    <row r="2" spans="2:16" ht="14.7" customHeight="1" x14ac:dyDescent="0.55000000000000004">
      <c r="B2" s="84" t="s">
        <v>39</v>
      </c>
      <c r="C2" s="180"/>
      <c r="D2" s="82"/>
      <c r="E2" s="82"/>
      <c r="F2" s="82"/>
      <c r="G2" s="82"/>
      <c r="H2" s="82"/>
      <c r="I2" s="82"/>
      <c r="J2" s="167"/>
      <c r="K2" s="82"/>
      <c r="L2" s="82"/>
      <c r="M2" s="82"/>
      <c r="N2" s="82"/>
      <c r="O2" s="82"/>
      <c r="P2" s="11"/>
    </row>
    <row r="3" spans="2:16" ht="3.9" customHeight="1" thickBot="1" x14ac:dyDescent="0.6">
      <c r="B3" s="82" t="s">
        <v>40</v>
      </c>
      <c r="C3" s="180"/>
      <c r="D3" s="82"/>
      <c r="E3" s="82"/>
      <c r="F3" s="82"/>
      <c r="G3" s="82"/>
      <c r="H3" s="82"/>
      <c r="I3" s="82"/>
      <c r="J3" s="167"/>
      <c r="K3" s="82"/>
      <c r="L3" s="82"/>
      <c r="M3" s="82"/>
      <c r="N3" s="82"/>
      <c r="O3" s="82"/>
      <c r="P3" s="11"/>
    </row>
    <row r="4" spans="2:16" ht="19.5" hidden="1" customHeight="1" thickBot="1" x14ac:dyDescent="0.6">
      <c r="B4" s="81"/>
      <c r="C4" s="181"/>
      <c r="D4" s="81"/>
      <c r="E4" s="81"/>
      <c r="F4" s="81"/>
      <c r="G4" s="81"/>
      <c r="H4" s="81"/>
      <c r="I4" s="81"/>
      <c r="J4" s="166"/>
      <c r="K4" s="86"/>
      <c r="L4" s="86"/>
      <c r="M4" s="86"/>
      <c r="N4" s="86"/>
      <c r="O4" s="86"/>
      <c r="P4" s="11"/>
    </row>
    <row r="5" spans="2:16" s="188" customFormat="1" ht="23.1" hidden="1" customHeight="1" thickBot="1" x14ac:dyDescent="0.6">
      <c r="B5" s="182" t="s">
        <v>20</v>
      </c>
      <c r="C5" s="183"/>
      <c r="D5" s="184">
        <f t="shared" ref="D5:O5" si="0">D22/(28)*100</f>
        <v>765466.17405582929</v>
      </c>
      <c r="E5" s="185">
        <f t="shared" si="0"/>
        <v>1445801.6420361248</v>
      </c>
      <c r="F5" s="185">
        <f t="shared" si="0"/>
        <v>1138966.1740558292</v>
      </c>
      <c r="G5" s="185">
        <f t="shared" si="0"/>
        <v>1082041.1740558292</v>
      </c>
      <c r="H5" s="185">
        <f t="shared" si="0"/>
        <v>1149819.7454844008</v>
      </c>
      <c r="I5" s="185">
        <f t="shared" si="0"/>
        <v>917530.45977011498</v>
      </c>
      <c r="J5" s="186">
        <f t="shared" si="0"/>
        <v>585265.22988505755</v>
      </c>
      <c r="K5" s="185">
        <f t="shared" si="0"/>
        <v>887609.03119868634</v>
      </c>
      <c r="L5" s="185">
        <f t="shared" si="0"/>
        <v>659261.53530377673</v>
      </c>
      <c r="M5" s="185">
        <f t="shared" si="0"/>
        <v>816805.45977011498</v>
      </c>
      <c r="N5" s="185">
        <f t="shared" si="0"/>
        <v>549629.51559934323</v>
      </c>
      <c r="O5" s="185">
        <f t="shared" si="0"/>
        <v>795228.07881773403</v>
      </c>
      <c r="P5" s="187"/>
    </row>
    <row r="6" spans="2:16" ht="14.1" hidden="1" customHeight="1" thickBot="1" x14ac:dyDescent="0.6"/>
    <row r="7" spans="2:16" ht="19.5" customHeight="1" thickBot="1" x14ac:dyDescent="0.6">
      <c r="B7" s="189" t="s">
        <v>7</v>
      </c>
      <c r="D7" s="190">
        <f t="shared" ref="D7:O7" si="1">D5*D9</f>
        <v>214330.52873563222</v>
      </c>
      <c r="E7" s="190">
        <f t="shared" si="1"/>
        <v>404824.45977011498</v>
      </c>
      <c r="F7" s="190">
        <f t="shared" si="1"/>
        <v>318910.52873563219</v>
      </c>
      <c r="G7" s="190">
        <f t="shared" si="1"/>
        <v>302971.52873563219</v>
      </c>
      <c r="H7" s="190">
        <f t="shared" si="1"/>
        <v>321949.52873563225</v>
      </c>
      <c r="I7" s="190">
        <f t="shared" si="1"/>
        <v>256908.52873563222</v>
      </c>
      <c r="J7" s="191">
        <f t="shared" si="1"/>
        <v>163874.26436781613</v>
      </c>
      <c r="K7" s="190">
        <f t="shared" si="1"/>
        <v>248530.52873563219</v>
      </c>
      <c r="L7" s="190">
        <f t="shared" si="1"/>
        <v>184593.22988505752</v>
      </c>
      <c r="M7" s="190">
        <f t="shared" si="1"/>
        <v>228705.52873563222</v>
      </c>
      <c r="N7" s="190">
        <f t="shared" si="1"/>
        <v>153896.26436781613</v>
      </c>
      <c r="O7" s="190">
        <f t="shared" si="1"/>
        <v>222663.86206896554</v>
      </c>
      <c r="P7" s="192"/>
    </row>
    <row r="8" spans="2:16" ht="19.5" customHeight="1" thickBot="1" x14ac:dyDescent="0.6">
      <c r="B8" s="153"/>
      <c r="D8" s="192"/>
      <c r="E8" s="192"/>
      <c r="F8" s="192"/>
      <c r="G8" s="192"/>
      <c r="H8" s="192"/>
      <c r="I8" s="192"/>
      <c r="J8" s="193"/>
      <c r="K8" s="192"/>
      <c r="L8" s="192"/>
      <c r="M8" s="192"/>
      <c r="N8" s="192"/>
      <c r="O8" s="192"/>
      <c r="P8" s="192"/>
    </row>
    <row r="9" spans="2:16" ht="19.5" customHeight="1" thickBot="1" x14ac:dyDescent="0.6">
      <c r="B9" s="189" t="s">
        <v>21</v>
      </c>
      <c r="D9" s="194">
        <v>0.28000000000000003</v>
      </c>
      <c r="E9" s="194">
        <v>0.28000000000000003</v>
      </c>
      <c r="F9" s="194">
        <v>0.28000000000000003</v>
      </c>
      <c r="G9" s="194">
        <v>0.28000000000000003</v>
      </c>
      <c r="H9" s="194">
        <v>0.28000000000000003</v>
      </c>
      <c r="I9" s="194">
        <v>0.28000000000000003</v>
      </c>
      <c r="J9" s="195">
        <v>0.28000000000000003</v>
      </c>
      <c r="K9" s="194">
        <v>0.28000000000000003</v>
      </c>
      <c r="L9" s="194">
        <v>0.28000000000000003</v>
      </c>
      <c r="M9" s="194">
        <v>0.28000000000000003</v>
      </c>
      <c r="N9" s="194">
        <v>0.28000000000000003</v>
      </c>
      <c r="O9" s="194">
        <v>0.28000000000000003</v>
      </c>
      <c r="P9" s="192"/>
    </row>
    <row r="10" spans="2:16" ht="14.25" customHeight="1" x14ac:dyDescent="0.55000000000000004"/>
    <row r="11" spans="2:16" ht="21" customHeight="1" x14ac:dyDescent="0.55000000000000004">
      <c r="B11" s="196" t="s">
        <v>22</v>
      </c>
      <c r="C11" s="197"/>
    </row>
    <row r="12" spans="2:16" ht="19.5" customHeight="1" x14ac:dyDescent="0.55000000000000004">
      <c r="B12" s="24" t="s">
        <v>1</v>
      </c>
      <c r="D12" s="198">
        <v>40000</v>
      </c>
      <c r="E12" s="199">
        <v>138600</v>
      </c>
      <c r="F12" s="199">
        <v>105264</v>
      </c>
      <c r="G12" s="199">
        <v>75000</v>
      </c>
      <c r="H12" s="199">
        <v>115000</v>
      </c>
      <c r="I12" s="200">
        <v>65000</v>
      </c>
      <c r="J12" s="201">
        <v>35000</v>
      </c>
      <c r="K12" s="199">
        <v>60000</v>
      </c>
      <c r="L12" s="199">
        <v>45000</v>
      </c>
      <c r="M12" s="199">
        <v>60000</v>
      </c>
      <c r="N12" s="202">
        <v>35000</v>
      </c>
      <c r="O12" s="202">
        <v>40000</v>
      </c>
      <c r="P12" s="203"/>
    </row>
    <row r="13" spans="2:16" ht="19.5" customHeight="1" x14ac:dyDescent="0.55000000000000004">
      <c r="B13" s="31" t="s">
        <v>23</v>
      </c>
      <c r="D13" s="204">
        <v>0</v>
      </c>
      <c r="E13" s="205">
        <v>20000</v>
      </c>
      <c r="F13" s="205">
        <v>0</v>
      </c>
      <c r="G13" s="205">
        <v>0</v>
      </c>
      <c r="H13" s="205">
        <v>0</v>
      </c>
      <c r="I13" s="205">
        <v>0</v>
      </c>
      <c r="J13" s="206">
        <v>0</v>
      </c>
      <c r="K13" s="205">
        <v>0</v>
      </c>
      <c r="L13" s="205">
        <v>0</v>
      </c>
      <c r="M13" s="205">
        <v>0</v>
      </c>
      <c r="N13" s="207"/>
      <c r="O13" s="208">
        <v>0</v>
      </c>
      <c r="P13" s="203"/>
    </row>
    <row r="14" spans="2:16" ht="19.5" customHeight="1" x14ac:dyDescent="0.55000000000000004">
      <c r="B14" s="31" t="s">
        <v>2</v>
      </c>
      <c r="D14" s="204">
        <v>38000</v>
      </c>
      <c r="E14" s="205">
        <v>60000</v>
      </c>
      <c r="F14" s="205">
        <v>40000</v>
      </c>
      <c r="G14" s="205">
        <v>60000</v>
      </c>
      <c r="H14" s="205">
        <v>50000</v>
      </c>
      <c r="I14" s="205">
        <v>40000</v>
      </c>
      <c r="J14" s="206">
        <v>35000</v>
      </c>
      <c r="K14" s="205">
        <v>40000</v>
      </c>
      <c r="L14" s="205">
        <v>35000</v>
      </c>
      <c r="M14" s="205">
        <v>20000</v>
      </c>
      <c r="N14" s="207">
        <v>25000</v>
      </c>
      <c r="O14" s="208">
        <v>30000</v>
      </c>
      <c r="P14" s="203"/>
    </row>
    <row r="15" spans="2:16" ht="19.5" customHeight="1" x14ac:dyDescent="0.55000000000000004">
      <c r="B15" s="31" t="s">
        <v>24</v>
      </c>
      <c r="D15" s="204">
        <v>0</v>
      </c>
      <c r="E15" s="205">
        <v>0</v>
      </c>
      <c r="F15" s="205">
        <v>3000</v>
      </c>
      <c r="G15" s="205">
        <v>0</v>
      </c>
      <c r="H15" s="205">
        <v>0</v>
      </c>
      <c r="I15" s="205">
        <v>2000</v>
      </c>
      <c r="J15" s="206">
        <v>0</v>
      </c>
      <c r="K15" s="205">
        <v>3700</v>
      </c>
      <c r="L15" s="205">
        <v>1100</v>
      </c>
      <c r="M15" s="205">
        <v>2000</v>
      </c>
      <c r="N15" s="207">
        <v>0</v>
      </c>
      <c r="O15" s="208">
        <v>2000</v>
      </c>
      <c r="P15" s="203"/>
    </row>
    <row r="16" spans="2:16" ht="19.5" customHeight="1" x14ac:dyDescent="0.55000000000000004">
      <c r="B16" s="31" t="s">
        <v>25</v>
      </c>
      <c r="D16" s="204">
        <v>0</v>
      </c>
      <c r="E16" s="205">
        <v>0</v>
      </c>
      <c r="F16" s="205">
        <f>F12*0.1</f>
        <v>10526.400000000001</v>
      </c>
      <c r="G16" s="205">
        <v>0</v>
      </c>
      <c r="H16" s="205">
        <v>0</v>
      </c>
      <c r="I16" s="205">
        <v>0</v>
      </c>
      <c r="J16" s="206">
        <v>0</v>
      </c>
      <c r="K16" s="205">
        <v>3000</v>
      </c>
      <c r="L16" s="205">
        <v>0</v>
      </c>
      <c r="M16" s="205">
        <v>6000</v>
      </c>
      <c r="N16" s="207">
        <v>0</v>
      </c>
      <c r="O16" s="208">
        <v>0</v>
      </c>
      <c r="P16" s="203"/>
    </row>
    <row r="17" spans="1:18" ht="19.5" customHeight="1" x14ac:dyDescent="0.55000000000000004">
      <c r="B17" s="31" t="s">
        <v>6</v>
      </c>
      <c r="D17" s="204">
        <v>0</v>
      </c>
      <c r="E17" s="205">
        <v>9000</v>
      </c>
      <c r="F17" s="205">
        <f>F12*0.15</f>
        <v>15789.599999999999</v>
      </c>
      <c r="G17" s="205">
        <f>G12*0.15</f>
        <v>11250</v>
      </c>
      <c r="H17" s="205">
        <f>25000*0.15</f>
        <v>3750</v>
      </c>
      <c r="I17" s="205">
        <f>30000*0.15</f>
        <v>4500</v>
      </c>
      <c r="J17" s="206">
        <f>J12*0.15</f>
        <v>5250</v>
      </c>
      <c r="K17" s="205">
        <f>30000*0.15</f>
        <v>4500</v>
      </c>
      <c r="L17" s="205">
        <f>L12*0.15</f>
        <v>6750</v>
      </c>
      <c r="M17" s="205">
        <v>0</v>
      </c>
      <c r="N17" s="205">
        <f>N12*0.15</f>
        <v>5250</v>
      </c>
      <c r="O17" s="208">
        <f>O12*0.15</f>
        <v>6000</v>
      </c>
      <c r="P17" s="203"/>
    </row>
    <row r="18" spans="1:18" ht="19.5" customHeight="1" x14ac:dyDescent="0.55000000000000004">
      <c r="B18" s="31" t="s">
        <v>0</v>
      </c>
      <c r="D18" s="209">
        <f>D36*D42+D37*D43</f>
        <v>131330.52873563219</v>
      </c>
      <c r="E18" s="209">
        <f>E36*D42+E37*D43</f>
        <v>169224.45977011495</v>
      </c>
      <c r="F18" s="209">
        <f>F36*D42+F37*D43</f>
        <v>131330.52873563219</v>
      </c>
      <c r="G18" s="209">
        <f>G36*D42+G37*D43</f>
        <v>131330.52873563219</v>
      </c>
      <c r="H18" s="209">
        <f>H36*D42+H37*D43</f>
        <v>131330.52873563219</v>
      </c>
      <c r="I18" s="209">
        <f>I36*D42+I37*D43</f>
        <v>131330.52873563219</v>
      </c>
      <c r="J18" s="210">
        <f>J36*D42+J37*D43+(5400+3600*2)</f>
        <v>78265.264367816097</v>
      </c>
      <c r="K18" s="209">
        <f>K36*D42+K37*D43</f>
        <v>131330.52873563219</v>
      </c>
      <c r="L18" s="209">
        <f>L36*D42+L37*D43</f>
        <v>84612.229885057473</v>
      </c>
      <c r="M18" s="209">
        <f>M36*D42+M37*D43</f>
        <v>131330.52873563219</v>
      </c>
      <c r="N18" s="209">
        <f>N36*D42+N37*D43+(5400+3600*2)</f>
        <v>78265.264367816097</v>
      </c>
      <c r="O18" s="211">
        <f>D42*2+D43*4</f>
        <v>131330.52873563219</v>
      </c>
      <c r="P18" s="203"/>
    </row>
    <row r="19" spans="1:18" ht="19.5" customHeight="1" x14ac:dyDescent="0.55000000000000004">
      <c r="B19" s="31" t="s">
        <v>3</v>
      </c>
      <c r="D19" s="204">
        <v>5000</v>
      </c>
      <c r="E19" s="205">
        <v>8000</v>
      </c>
      <c r="F19" s="205">
        <v>6000</v>
      </c>
      <c r="G19" s="205">
        <v>8000</v>
      </c>
      <c r="H19" s="205">
        <v>8000</v>
      </c>
      <c r="I19" s="205">
        <v>5000</v>
      </c>
      <c r="J19" s="206">
        <v>5000</v>
      </c>
      <c r="K19" s="205">
        <v>6000</v>
      </c>
      <c r="L19" s="205">
        <v>5000</v>
      </c>
      <c r="M19" s="205">
        <v>5000</v>
      </c>
      <c r="N19" s="207">
        <v>5000</v>
      </c>
      <c r="O19" s="208">
        <v>5000</v>
      </c>
      <c r="P19" s="203"/>
    </row>
    <row r="20" spans="1:18" ht="19.5" customHeight="1" x14ac:dyDescent="0.55000000000000004">
      <c r="B20" s="37" t="s">
        <v>4</v>
      </c>
      <c r="D20" s="204"/>
      <c r="E20" s="205"/>
      <c r="F20" s="212">
        <v>7000</v>
      </c>
      <c r="G20" s="212">
        <v>17391</v>
      </c>
      <c r="H20" s="212">
        <v>13869</v>
      </c>
      <c r="I20" s="212">
        <v>9078</v>
      </c>
      <c r="J20" s="213">
        <v>5359</v>
      </c>
      <c r="K20" s="212">
        <v>0</v>
      </c>
      <c r="L20" s="212">
        <v>7131</v>
      </c>
      <c r="M20" s="212">
        <v>4375</v>
      </c>
      <c r="N20" s="214">
        <v>5381</v>
      </c>
      <c r="O20" s="215">
        <f>(1000000*0.1*3)/36</f>
        <v>8333.3333333333339</v>
      </c>
      <c r="P20" s="203"/>
    </row>
    <row r="21" spans="1:18" ht="19.5" customHeight="1" x14ac:dyDescent="0.55000000000000004">
      <c r="B21" s="216" t="s">
        <v>26</v>
      </c>
      <c r="D21" s="217">
        <v>0</v>
      </c>
      <c r="E21" s="212">
        <v>0</v>
      </c>
      <c r="F21" s="212"/>
      <c r="G21" s="212"/>
      <c r="H21" s="212"/>
      <c r="I21" s="212"/>
      <c r="J21" s="213"/>
      <c r="K21" s="212"/>
      <c r="L21" s="212"/>
      <c r="M21" s="212"/>
      <c r="N21" s="214"/>
      <c r="O21" s="215"/>
      <c r="P21" s="203"/>
    </row>
    <row r="22" spans="1:18" s="188" customFormat="1" ht="17.25" customHeight="1" thickBot="1" x14ac:dyDescent="0.6">
      <c r="B22" s="218" t="s">
        <v>27</v>
      </c>
      <c r="C22" s="153"/>
      <c r="D22" s="219">
        <f t="shared" ref="D22:N22" si="2">SUM(D12:D21)</f>
        <v>214330.52873563219</v>
      </c>
      <c r="E22" s="220">
        <f t="shared" si="2"/>
        <v>404824.45977011498</v>
      </c>
      <c r="F22" s="220">
        <f t="shared" si="2"/>
        <v>318910.52873563219</v>
      </c>
      <c r="G22" s="220">
        <f t="shared" si="2"/>
        <v>302971.52873563219</v>
      </c>
      <c r="H22" s="220">
        <f t="shared" si="2"/>
        <v>321949.52873563219</v>
      </c>
      <c r="I22" s="220">
        <f t="shared" si="2"/>
        <v>256908.52873563219</v>
      </c>
      <c r="J22" s="221">
        <f t="shared" si="2"/>
        <v>163874.2643678161</v>
      </c>
      <c r="K22" s="222">
        <f t="shared" si="2"/>
        <v>248530.52873563219</v>
      </c>
      <c r="L22" s="222">
        <f t="shared" si="2"/>
        <v>184593.22988505749</v>
      </c>
      <c r="M22" s="222">
        <f t="shared" si="2"/>
        <v>228705.52873563219</v>
      </c>
      <c r="N22" s="222">
        <f t="shared" si="2"/>
        <v>153896.2643678161</v>
      </c>
      <c r="O22" s="223">
        <f>SUM(O12:O20)</f>
        <v>222663.86206896554</v>
      </c>
      <c r="P22" s="224"/>
    </row>
    <row r="23" spans="1:18" ht="16.5" customHeight="1" thickBot="1" x14ac:dyDescent="0.6"/>
    <row r="24" spans="1:18" ht="18" customHeight="1" thickBot="1" x14ac:dyDescent="0.6">
      <c r="A24" s="225"/>
      <c r="B24" s="189" t="s">
        <v>28</v>
      </c>
      <c r="D24" s="226">
        <f t="shared" ref="D24:M24" si="3">D7-D22</f>
        <v>0</v>
      </c>
      <c r="E24" s="227">
        <f t="shared" si="3"/>
        <v>0</v>
      </c>
      <c r="F24" s="227">
        <f t="shared" si="3"/>
        <v>0</v>
      </c>
      <c r="G24" s="227">
        <f t="shared" si="3"/>
        <v>0</v>
      </c>
      <c r="H24" s="227">
        <f t="shared" si="3"/>
        <v>0</v>
      </c>
      <c r="I24" s="227">
        <f t="shared" si="3"/>
        <v>0</v>
      </c>
      <c r="J24" s="228">
        <f t="shared" si="3"/>
        <v>0</v>
      </c>
      <c r="K24" s="227">
        <f t="shared" si="3"/>
        <v>0</v>
      </c>
      <c r="L24" s="227">
        <f t="shared" si="3"/>
        <v>0</v>
      </c>
      <c r="M24" s="229">
        <f t="shared" si="3"/>
        <v>0</v>
      </c>
      <c r="N24" s="230"/>
      <c r="O24" s="230"/>
    </row>
    <row r="25" spans="1:18" x14ac:dyDescent="0.55000000000000004">
      <c r="A25" s="225"/>
      <c r="B25" s="88"/>
    </row>
    <row r="26" spans="1:18" x14ac:dyDescent="0.55000000000000004">
      <c r="A26" s="225"/>
      <c r="B26" s="88"/>
      <c r="D26" s="231"/>
      <c r="E26" s="231"/>
      <c r="F26" s="231"/>
      <c r="G26" s="231"/>
      <c r="H26" s="231"/>
      <c r="I26" s="231"/>
      <c r="J26" s="232"/>
      <c r="K26" s="231"/>
      <c r="L26" s="231"/>
      <c r="M26" s="231"/>
      <c r="N26" s="231"/>
      <c r="O26" s="231"/>
      <c r="Q26" s="188"/>
    </row>
    <row r="27" spans="1:18" ht="14.7" thickBot="1" x14ac:dyDescent="0.6">
      <c r="A27" s="225"/>
      <c r="B27" s="88"/>
    </row>
    <row r="28" spans="1:18" ht="20.25" customHeight="1" thickBot="1" x14ac:dyDescent="0.6">
      <c r="A28" s="225"/>
      <c r="B28" s="233" t="s">
        <v>29</v>
      </c>
      <c r="D28" s="234">
        <f t="shared" ref="D28:O28" si="4">D5/30</f>
        <v>25515.539135194311</v>
      </c>
      <c r="E28" s="235">
        <f t="shared" si="4"/>
        <v>48193.38806787083</v>
      </c>
      <c r="F28" s="235">
        <f t="shared" si="4"/>
        <v>37965.539135194304</v>
      </c>
      <c r="G28" s="235">
        <f t="shared" si="4"/>
        <v>36068.039135194304</v>
      </c>
      <c r="H28" s="235">
        <f t="shared" si="4"/>
        <v>38327.324849480028</v>
      </c>
      <c r="I28" s="235">
        <f t="shared" si="4"/>
        <v>30584.348659003834</v>
      </c>
      <c r="J28" s="236">
        <f t="shared" si="4"/>
        <v>19508.840996168587</v>
      </c>
      <c r="K28" s="237">
        <f t="shared" si="4"/>
        <v>29586.96770662288</v>
      </c>
      <c r="L28" s="237">
        <f t="shared" si="4"/>
        <v>21975.384510125892</v>
      </c>
      <c r="M28" s="237">
        <f t="shared" si="4"/>
        <v>27226.848659003834</v>
      </c>
      <c r="N28" s="237">
        <f t="shared" si="4"/>
        <v>18320.983853311442</v>
      </c>
      <c r="O28" s="237">
        <f t="shared" si="4"/>
        <v>26507.602627257802</v>
      </c>
      <c r="R28" s="87"/>
    </row>
    <row r="29" spans="1:18" x14ac:dyDescent="0.55000000000000004">
      <c r="A29" s="225"/>
      <c r="B29" s="88"/>
      <c r="R29" s="238"/>
    </row>
    <row r="30" spans="1:18" x14ac:dyDescent="0.55000000000000004">
      <c r="A30" s="225"/>
      <c r="B30" s="239" t="s">
        <v>30</v>
      </c>
      <c r="C30" s="240"/>
      <c r="D30" s="241">
        <v>31000</v>
      </c>
      <c r="E30" s="241">
        <v>61000</v>
      </c>
      <c r="F30" s="241">
        <v>33000</v>
      </c>
      <c r="G30" s="241">
        <v>40000</v>
      </c>
      <c r="H30" s="241">
        <v>44000</v>
      </c>
      <c r="I30" s="241">
        <v>27000</v>
      </c>
      <c r="J30" s="242">
        <v>0</v>
      </c>
      <c r="K30" s="243">
        <v>0</v>
      </c>
      <c r="L30" s="243">
        <v>0</v>
      </c>
      <c r="M30" s="241">
        <v>30000</v>
      </c>
      <c r="N30" s="243">
        <v>0</v>
      </c>
      <c r="O30" s="243"/>
    </row>
    <row r="31" spans="1:18" x14ac:dyDescent="0.55000000000000004">
      <c r="A31" s="225"/>
      <c r="B31" s="88"/>
      <c r="D31" s="244"/>
    </row>
    <row r="32" spans="1:18" x14ac:dyDescent="0.55000000000000004">
      <c r="A32" s="225"/>
      <c r="B32" s="245" t="s">
        <v>31</v>
      </c>
      <c r="C32" s="246"/>
      <c r="D32" s="247">
        <v>35000</v>
      </c>
      <c r="E32" s="247">
        <v>62000</v>
      </c>
      <c r="F32" s="247">
        <v>49000</v>
      </c>
      <c r="G32" s="247">
        <v>42000</v>
      </c>
      <c r="H32" s="247">
        <v>45000</v>
      </c>
      <c r="I32" s="247">
        <v>31000</v>
      </c>
      <c r="J32" s="248">
        <v>23000</v>
      </c>
      <c r="K32" s="249">
        <v>38000</v>
      </c>
      <c r="L32" s="249">
        <v>29000</v>
      </c>
      <c r="M32" s="249">
        <v>33000</v>
      </c>
      <c r="N32" s="249">
        <v>21000</v>
      </c>
      <c r="O32" s="249">
        <v>24000</v>
      </c>
    </row>
    <row r="33" spans="1:15" x14ac:dyDescent="0.55000000000000004">
      <c r="A33" s="225"/>
      <c r="B33" s="88"/>
      <c r="D33" s="244"/>
    </row>
    <row r="34" spans="1:15" x14ac:dyDescent="0.55000000000000004">
      <c r="A34" s="225"/>
      <c r="B34" s="88" t="s">
        <v>188</v>
      </c>
      <c r="D34" s="250">
        <v>2</v>
      </c>
      <c r="E34" s="250" t="s">
        <v>189</v>
      </c>
      <c r="F34" s="250" t="s">
        <v>189</v>
      </c>
      <c r="G34" s="250" t="s">
        <v>189</v>
      </c>
      <c r="H34" s="250" t="s">
        <v>189</v>
      </c>
      <c r="I34" s="250" t="s">
        <v>189</v>
      </c>
      <c r="J34" s="251" t="s">
        <v>190</v>
      </c>
      <c r="K34" s="250" t="s">
        <v>189</v>
      </c>
      <c r="L34" s="250" t="s">
        <v>189</v>
      </c>
      <c r="M34" s="250" t="s">
        <v>189</v>
      </c>
      <c r="N34" s="250" t="s">
        <v>190</v>
      </c>
      <c r="O34" s="250" t="s">
        <v>189</v>
      </c>
    </row>
    <row r="35" spans="1:15" x14ac:dyDescent="0.55000000000000004">
      <c r="A35" s="225"/>
      <c r="B35" s="88"/>
      <c r="D35" s="250"/>
      <c r="E35" s="250"/>
      <c r="F35" s="250"/>
      <c r="G35" s="250"/>
      <c r="H35" s="250"/>
      <c r="I35" s="250"/>
      <c r="J35" s="251"/>
      <c r="K35" s="250"/>
      <c r="L35" s="250"/>
      <c r="M35" s="250"/>
      <c r="N35" s="250"/>
      <c r="O35" s="250"/>
    </row>
    <row r="36" spans="1:15" x14ac:dyDescent="0.55000000000000004">
      <c r="B36" s="25" t="s">
        <v>32</v>
      </c>
      <c r="D36" s="252">
        <v>2</v>
      </c>
      <c r="E36" s="252">
        <v>2</v>
      </c>
      <c r="F36" s="252">
        <v>2</v>
      </c>
      <c r="G36" s="252">
        <v>2</v>
      </c>
      <c r="H36" s="252">
        <v>2</v>
      </c>
      <c r="I36" s="252">
        <v>2</v>
      </c>
      <c r="J36" s="253">
        <v>1</v>
      </c>
      <c r="K36" s="252">
        <v>2</v>
      </c>
      <c r="L36" s="252">
        <v>1</v>
      </c>
      <c r="M36" s="252">
        <v>2</v>
      </c>
      <c r="N36" s="252">
        <v>1</v>
      </c>
      <c r="O36" s="252">
        <v>2</v>
      </c>
    </row>
    <row r="37" spans="1:15" x14ac:dyDescent="0.55000000000000004">
      <c r="B37" s="25" t="s">
        <v>33</v>
      </c>
      <c r="D37" s="252">
        <v>4</v>
      </c>
      <c r="E37" s="252">
        <v>6</v>
      </c>
      <c r="F37" s="252">
        <v>4</v>
      </c>
      <c r="G37" s="252">
        <v>4</v>
      </c>
      <c r="H37" s="252">
        <v>4</v>
      </c>
      <c r="I37" s="252">
        <v>4</v>
      </c>
      <c r="J37" s="253">
        <v>2</v>
      </c>
      <c r="K37" s="252">
        <v>4</v>
      </c>
      <c r="L37" s="252">
        <v>3</v>
      </c>
      <c r="M37" s="252">
        <v>4</v>
      </c>
      <c r="N37" s="252">
        <v>2</v>
      </c>
      <c r="O37" s="252">
        <v>4</v>
      </c>
    </row>
    <row r="38" spans="1:15" x14ac:dyDescent="0.55000000000000004">
      <c r="D38" s="87">
        <f>SUM(D36:D37)</f>
        <v>6</v>
      </c>
      <c r="E38" s="87">
        <f t="shared" ref="E38:O38" si="5">SUM(E36:E37)</f>
        <v>8</v>
      </c>
      <c r="F38" s="87">
        <f t="shared" si="5"/>
        <v>6</v>
      </c>
      <c r="G38" s="87">
        <f t="shared" si="5"/>
        <v>6</v>
      </c>
      <c r="H38" s="87">
        <f t="shared" si="5"/>
        <v>6</v>
      </c>
      <c r="I38" s="87">
        <f t="shared" si="5"/>
        <v>6</v>
      </c>
      <c r="J38" s="87">
        <f t="shared" si="5"/>
        <v>3</v>
      </c>
      <c r="K38" s="87">
        <f t="shared" si="5"/>
        <v>6</v>
      </c>
      <c r="L38" s="87">
        <f t="shared" si="5"/>
        <v>4</v>
      </c>
      <c r="M38" s="87">
        <f t="shared" si="5"/>
        <v>6</v>
      </c>
      <c r="N38" s="87">
        <f t="shared" si="5"/>
        <v>3</v>
      </c>
      <c r="O38" s="87">
        <f t="shared" si="5"/>
        <v>6</v>
      </c>
    </row>
    <row r="39" spans="1:15" x14ac:dyDescent="0.55000000000000004">
      <c r="D39" s="87"/>
      <c r="E39" s="87"/>
      <c r="F39" s="87"/>
      <c r="G39" s="87"/>
      <c r="H39" s="87"/>
      <c r="I39" s="87"/>
      <c r="J39" s="251"/>
      <c r="K39" s="87"/>
      <c r="L39" s="87"/>
      <c r="M39" s="87"/>
      <c r="N39" s="87"/>
      <c r="O39" s="87"/>
    </row>
    <row r="40" spans="1:15" x14ac:dyDescent="0.55000000000000004">
      <c r="D40" s="87"/>
      <c r="E40" s="87"/>
      <c r="F40" s="87"/>
      <c r="G40" s="87"/>
      <c r="H40" s="87"/>
      <c r="I40" s="87"/>
      <c r="J40" s="251"/>
      <c r="K40" s="87"/>
      <c r="L40" s="87"/>
      <c r="M40" s="87"/>
      <c r="N40" s="87"/>
      <c r="O40" s="87"/>
    </row>
    <row r="41" spans="1:15" x14ac:dyDescent="0.55000000000000004">
      <c r="B41" s="188" t="s">
        <v>34</v>
      </c>
      <c r="F41" s="87"/>
      <c r="G41" s="87"/>
      <c r="H41" s="87"/>
      <c r="I41" s="87"/>
      <c r="J41" s="251"/>
      <c r="K41" s="87"/>
      <c r="L41" s="87"/>
      <c r="M41" s="87"/>
      <c r="N41" s="87"/>
      <c r="O41" s="87"/>
    </row>
    <row r="42" spans="1:15" x14ac:dyDescent="0.55000000000000004">
      <c r="B42" s="25" t="s">
        <v>32</v>
      </c>
      <c r="D42" s="203">
        <v>27771.333333333332</v>
      </c>
      <c r="F42" s="87"/>
      <c r="G42" s="87"/>
      <c r="H42" s="87"/>
      <c r="I42" s="87"/>
      <c r="J42" s="251"/>
      <c r="K42" s="87"/>
      <c r="L42" s="87"/>
      <c r="M42" s="87"/>
      <c r="N42" s="87"/>
      <c r="O42" s="87"/>
    </row>
    <row r="43" spans="1:15" x14ac:dyDescent="0.55000000000000004">
      <c r="B43" s="25" t="s">
        <v>33</v>
      </c>
      <c r="D43" s="203">
        <v>18946.96551724138</v>
      </c>
      <c r="F43" s="87"/>
      <c r="G43" s="87"/>
      <c r="H43" s="87"/>
      <c r="I43" s="87"/>
      <c r="J43" s="251"/>
      <c r="K43" s="87"/>
      <c r="L43" s="87"/>
      <c r="M43" s="87"/>
      <c r="N43" s="87"/>
      <c r="O43" s="87"/>
    </row>
    <row r="45" spans="1:15" x14ac:dyDescent="0.55000000000000004">
      <c r="B45" s="188" t="s">
        <v>35</v>
      </c>
    </row>
    <row r="46" spans="1:15" x14ac:dyDescent="0.55000000000000004">
      <c r="B46" s="188"/>
    </row>
    <row r="47" spans="1:15" ht="29.25" customHeight="1" x14ac:dyDescent="0.55000000000000004">
      <c r="B47" s="304" t="s">
        <v>36</v>
      </c>
      <c r="C47" s="304"/>
      <c r="D47" s="304" t="s">
        <v>183</v>
      </c>
      <c r="E47" s="304"/>
      <c r="F47" s="298" t="s">
        <v>191</v>
      </c>
      <c r="G47" s="306" t="s">
        <v>187</v>
      </c>
      <c r="H47" s="308"/>
      <c r="I47" s="304" t="s">
        <v>186</v>
      </c>
      <c r="J47" s="274"/>
      <c r="K47" s="275"/>
    </row>
    <row r="48" spans="1:15" ht="48.3" customHeight="1" thickBot="1" x14ac:dyDescent="0.6">
      <c r="B48" s="305"/>
      <c r="C48" s="305"/>
      <c r="D48" s="3" t="s">
        <v>184</v>
      </c>
      <c r="E48" s="3" t="s">
        <v>185</v>
      </c>
      <c r="F48" s="299"/>
      <c r="G48" s="254">
        <v>0.05</v>
      </c>
      <c r="H48" s="255">
        <v>0.1</v>
      </c>
      <c r="I48" s="305"/>
      <c r="J48" s="276" t="s">
        <v>219</v>
      </c>
      <c r="K48" s="93" t="s">
        <v>220</v>
      </c>
    </row>
    <row r="49" spans="2:13" ht="20.25" customHeight="1" x14ac:dyDescent="0.55000000000000004">
      <c r="B49" s="256" t="s">
        <v>10</v>
      </c>
      <c r="C49" s="257"/>
      <c r="D49" s="258">
        <f t="shared" ref="D49:D60" si="6">M66</f>
        <v>214330.52873563219</v>
      </c>
      <c r="E49" s="259">
        <f t="shared" ref="E49:E60" si="7">D49/30</f>
        <v>7144.3509578544063</v>
      </c>
      <c r="F49" s="258">
        <f t="shared" ref="F49:F60" si="8">E49/28*100</f>
        <v>25515.539135194307</v>
      </c>
      <c r="G49" s="260">
        <f t="shared" ref="G49:G60" si="9">E49/23*100</f>
        <v>31062.395468932202</v>
      </c>
      <c r="H49" s="261">
        <f>E49/18*100</f>
        <v>39690.838654746702</v>
      </c>
      <c r="I49" s="262">
        <v>31500</v>
      </c>
      <c r="J49" s="274">
        <f>D49/23%</f>
        <v>931871.864067966</v>
      </c>
      <c r="K49" s="277">
        <f t="shared" ref="K49:K60" si="10">D49/18%</f>
        <v>1190725.1596424012</v>
      </c>
    </row>
    <row r="50" spans="2:13" ht="20.25" customHeight="1" x14ac:dyDescent="0.55000000000000004">
      <c r="B50" s="263" t="s">
        <v>37</v>
      </c>
      <c r="C50" s="264"/>
      <c r="D50" s="258">
        <f t="shared" si="6"/>
        <v>404824.45977011498</v>
      </c>
      <c r="E50" s="259">
        <f t="shared" si="7"/>
        <v>13494.148659003833</v>
      </c>
      <c r="F50" s="258">
        <f t="shared" si="8"/>
        <v>48193.38806787083</v>
      </c>
      <c r="G50" s="260">
        <f t="shared" si="9"/>
        <v>58670.21156088623</v>
      </c>
      <c r="H50" s="261">
        <f t="shared" ref="H50:H60" si="11">E50/18*100</f>
        <v>74967.492550021285</v>
      </c>
      <c r="I50" s="265">
        <v>59000</v>
      </c>
      <c r="J50" s="274">
        <f>D50/23%</f>
        <v>1760106.3468265869</v>
      </c>
      <c r="K50" s="277">
        <f t="shared" si="10"/>
        <v>2249024.776500639</v>
      </c>
    </row>
    <row r="51" spans="2:13" ht="20.25" customHeight="1" x14ac:dyDescent="0.55000000000000004">
      <c r="B51" s="263" t="s">
        <v>11</v>
      </c>
      <c r="C51" s="264"/>
      <c r="D51" s="258">
        <f t="shared" si="6"/>
        <v>318910.52873563219</v>
      </c>
      <c r="E51" s="259">
        <f t="shared" si="7"/>
        <v>10630.350957854407</v>
      </c>
      <c r="F51" s="258">
        <f t="shared" si="8"/>
        <v>37965.539135194311</v>
      </c>
      <c r="G51" s="260">
        <f t="shared" si="9"/>
        <v>46218.917208062638</v>
      </c>
      <c r="H51" s="261">
        <f t="shared" si="11"/>
        <v>59057.505321413373</v>
      </c>
      <c r="I51" s="265">
        <v>46500</v>
      </c>
      <c r="J51" s="274">
        <f t="shared" ref="J51:J60" si="12">D51/23%</f>
        <v>1386567.516241879</v>
      </c>
      <c r="K51" s="277">
        <f t="shared" si="10"/>
        <v>1771725.1596424012</v>
      </c>
    </row>
    <row r="52" spans="2:13" ht="20.25" customHeight="1" x14ac:dyDescent="0.55000000000000004">
      <c r="B52" s="263" t="s">
        <v>12</v>
      </c>
      <c r="C52" s="264"/>
      <c r="D52" s="258">
        <f t="shared" si="6"/>
        <v>302971.52873563219</v>
      </c>
      <c r="E52" s="259">
        <f t="shared" si="7"/>
        <v>10099.050957854406</v>
      </c>
      <c r="F52" s="258">
        <f t="shared" si="8"/>
        <v>36068.039135194304</v>
      </c>
      <c r="G52" s="260">
        <f t="shared" si="9"/>
        <v>43908.91720806263</v>
      </c>
      <c r="H52" s="261">
        <f t="shared" si="11"/>
        <v>56105.838654746694</v>
      </c>
      <c r="I52" s="265">
        <v>44000</v>
      </c>
      <c r="J52" s="274">
        <f t="shared" si="12"/>
        <v>1317267.516241879</v>
      </c>
      <c r="K52" s="277">
        <f t="shared" si="10"/>
        <v>1683175.1596424012</v>
      </c>
    </row>
    <row r="53" spans="2:13" ht="20.25" customHeight="1" x14ac:dyDescent="0.55000000000000004">
      <c r="B53" s="263" t="s">
        <v>13</v>
      </c>
      <c r="C53" s="264"/>
      <c r="D53" s="258">
        <f t="shared" si="6"/>
        <v>321949.52873563219</v>
      </c>
      <c r="E53" s="259">
        <f t="shared" si="7"/>
        <v>10731.650957854406</v>
      </c>
      <c r="F53" s="258">
        <f t="shared" si="8"/>
        <v>38327.324849480021</v>
      </c>
      <c r="G53" s="260">
        <f t="shared" si="9"/>
        <v>46659.351990671334</v>
      </c>
      <c r="H53" s="261">
        <f t="shared" si="11"/>
        <v>59620.283099191147</v>
      </c>
      <c r="I53" s="265">
        <v>47000</v>
      </c>
      <c r="J53" s="274">
        <f t="shared" si="12"/>
        <v>1399780.55972014</v>
      </c>
      <c r="K53" s="277">
        <f t="shared" si="10"/>
        <v>1788608.4929757344</v>
      </c>
    </row>
    <row r="54" spans="2:13" ht="20.25" customHeight="1" x14ac:dyDescent="0.55000000000000004">
      <c r="B54" s="263" t="s">
        <v>14</v>
      </c>
      <c r="C54" s="264"/>
      <c r="D54" s="258">
        <f t="shared" si="6"/>
        <v>256908.52873563219</v>
      </c>
      <c r="E54" s="259">
        <f t="shared" si="7"/>
        <v>8563.6176245210736</v>
      </c>
      <c r="F54" s="258">
        <f t="shared" si="8"/>
        <v>30584.348659003837</v>
      </c>
      <c r="G54" s="260">
        <f t="shared" si="9"/>
        <v>37233.120106613365</v>
      </c>
      <c r="H54" s="261">
        <f t="shared" si="11"/>
        <v>47575.653469561519</v>
      </c>
      <c r="I54" s="265">
        <v>37500</v>
      </c>
      <c r="J54" s="274">
        <f t="shared" si="12"/>
        <v>1116993.6031984007</v>
      </c>
      <c r="K54" s="277">
        <f t="shared" si="10"/>
        <v>1427269.6040868456</v>
      </c>
    </row>
    <row r="55" spans="2:13" ht="20.25" customHeight="1" x14ac:dyDescent="0.55000000000000004">
      <c r="B55" s="294" t="s">
        <v>15</v>
      </c>
      <c r="C55" s="295"/>
      <c r="D55" s="258">
        <f t="shared" si="6"/>
        <v>163874.2643678161</v>
      </c>
      <c r="E55" s="259">
        <f t="shared" si="7"/>
        <v>5462.4754789272029</v>
      </c>
      <c r="F55" s="258">
        <f t="shared" si="8"/>
        <v>19508.840996168583</v>
      </c>
      <c r="G55" s="260">
        <f t="shared" si="9"/>
        <v>23749.893386640015</v>
      </c>
      <c r="H55" s="261">
        <f t="shared" si="11"/>
        <v>30347.085994040015</v>
      </c>
      <c r="I55" s="265">
        <v>24000</v>
      </c>
      <c r="J55" s="274">
        <f t="shared" si="12"/>
        <v>712496.80159920035</v>
      </c>
      <c r="K55" s="277">
        <f t="shared" si="10"/>
        <v>910412.57982120058</v>
      </c>
    </row>
    <row r="56" spans="2:13" ht="20.25" customHeight="1" x14ac:dyDescent="0.55000000000000004">
      <c r="B56" s="294" t="s">
        <v>16</v>
      </c>
      <c r="C56" s="295"/>
      <c r="D56" s="258">
        <f t="shared" si="6"/>
        <v>248530.52873563219</v>
      </c>
      <c r="E56" s="259">
        <f t="shared" si="7"/>
        <v>8284.3509578544072</v>
      </c>
      <c r="F56" s="258">
        <f t="shared" si="8"/>
        <v>29586.96770662288</v>
      </c>
      <c r="G56" s="260">
        <f t="shared" si="9"/>
        <v>36018.917208062638</v>
      </c>
      <c r="H56" s="261">
        <f t="shared" si="11"/>
        <v>46024.171988080045</v>
      </c>
      <c r="I56" s="265">
        <v>36500</v>
      </c>
      <c r="J56" s="274">
        <f t="shared" si="12"/>
        <v>1080567.516241879</v>
      </c>
      <c r="K56" s="277">
        <f t="shared" si="10"/>
        <v>1380725.1596424012</v>
      </c>
    </row>
    <row r="57" spans="2:13" ht="20.25" customHeight="1" x14ac:dyDescent="0.55000000000000004">
      <c r="B57" s="294" t="s">
        <v>17</v>
      </c>
      <c r="C57" s="295"/>
      <c r="D57" s="258">
        <f t="shared" si="6"/>
        <v>184593.22988505749</v>
      </c>
      <c r="E57" s="259">
        <f t="shared" si="7"/>
        <v>6153.1076628352494</v>
      </c>
      <c r="F57" s="258">
        <f t="shared" si="8"/>
        <v>21975.384510125892</v>
      </c>
      <c r="G57" s="260">
        <f t="shared" si="9"/>
        <v>26752.642012327167</v>
      </c>
      <c r="H57" s="261">
        <f t="shared" si="11"/>
        <v>34183.931460195825</v>
      </c>
      <c r="I57" s="265">
        <v>27000</v>
      </c>
      <c r="J57" s="274">
        <f t="shared" si="12"/>
        <v>802579.26036981517</v>
      </c>
      <c r="K57" s="277">
        <f t="shared" si="10"/>
        <v>1025517.943805875</v>
      </c>
    </row>
    <row r="58" spans="2:13" ht="20.25" customHeight="1" x14ac:dyDescent="0.55000000000000004">
      <c r="B58" s="294" t="s">
        <v>18</v>
      </c>
      <c r="C58" s="295"/>
      <c r="D58" s="258">
        <f t="shared" si="6"/>
        <v>228705.52873563219</v>
      </c>
      <c r="E58" s="259">
        <f t="shared" si="7"/>
        <v>7623.5176245210732</v>
      </c>
      <c r="F58" s="258">
        <f t="shared" si="8"/>
        <v>27226.848659003834</v>
      </c>
      <c r="G58" s="260">
        <f t="shared" si="9"/>
        <v>33145.728802265534</v>
      </c>
      <c r="H58" s="261">
        <f t="shared" si="11"/>
        <v>42352.875691783745</v>
      </c>
      <c r="I58" s="265">
        <v>33500</v>
      </c>
      <c r="J58" s="274">
        <f t="shared" si="12"/>
        <v>994371.864067966</v>
      </c>
      <c r="K58" s="277">
        <f t="shared" si="10"/>
        <v>1270586.2707535122</v>
      </c>
    </row>
    <row r="59" spans="2:13" ht="20.25" customHeight="1" x14ac:dyDescent="0.55000000000000004">
      <c r="B59" s="294" t="s">
        <v>19</v>
      </c>
      <c r="C59" s="295"/>
      <c r="D59" s="258">
        <f t="shared" si="6"/>
        <v>153896.2643678161</v>
      </c>
      <c r="E59" s="259">
        <f t="shared" si="7"/>
        <v>5129.8754789272034</v>
      </c>
      <c r="F59" s="258">
        <f t="shared" si="8"/>
        <v>18320.983853311442</v>
      </c>
      <c r="G59" s="260">
        <f t="shared" si="9"/>
        <v>22303.806430118275</v>
      </c>
      <c r="H59" s="261">
        <f t="shared" si="11"/>
        <v>28499.308216262238</v>
      </c>
      <c r="I59" s="265">
        <v>22500</v>
      </c>
      <c r="J59" s="274">
        <f t="shared" si="12"/>
        <v>669114.19290354825</v>
      </c>
      <c r="K59" s="277">
        <f t="shared" si="10"/>
        <v>854979.2464878672</v>
      </c>
    </row>
    <row r="60" spans="2:13" ht="19.5" customHeight="1" x14ac:dyDescent="0.55000000000000004">
      <c r="B60" s="296" t="s">
        <v>41</v>
      </c>
      <c r="C60" s="297"/>
      <c r="D60" s="258">
        <f t="shared" si="6"/>
        <v>222663.86206896554</v>
      </c>
      <c r="E60" s="259">
        <f t="shared" si="7"/>
        <v>7422.1287356321845</v>
      </c>
      <c r="F60" s="258">
        <f t="shared" si="8"/>
        <v>26507.602627257802</v>
      </c>
      <c r="G60" s="260">
        <f t="shared" si="9"/>
        <v>32270.12493753124</v>
      </c>
      <c r="H60" s="261">
        <f t="shared" si="11"/>
        <v>41234.048531289918</v>
      </c>
      <c r="I60" s="265">
        <v>32500</v>
      </c>
      <c r="J60" s="274">
        <f t="shared" si="12"/>
        <v>968103.74812593707</v>
      </c>
      <c r="K60" s="277">
        <f t="shared" si="10"/>
        <v>1237021.4559386976</v>
      </c>
    </row>
    <row r="64" spans="2:13" x14ac:dyDescent="0.55000000000000004">
      <c r="B64" s="304" t="s">
        <v>36</v>
      </c>
      <c r="C64" s="304"/>
      <c r="D64" s="306" t="s">
        <v>195</v>
      </c>
      <c r="E64" s="307"/>
      <c r="F64" s="307"/>
      <c r="G64" s="307"/>
      <c r="H64" s="307"/>
      <c r="I64" s="307"/>
      <c r="J64" s="307"/>
      <c r="K64" s="307"/>
      <c r="L64" s="307"/>
      <c r="M64" s="308"/>
    </row>
    <row r="65" spans="2:13" ht="29.1" thickBot="1" x14ac:dyDescent="0.6">
      <c r="B65" s="305"/>
      <c r="C65" s="305"/>
      <c r="D65" s="3" t="s">
        <v>1</v>
      </c>
      <c r="E65" s="3" t="s">
        <v>23</v>
      </c>
      <c r="F65" s="3" t="s">
        <v>2</v>
      </c>
      <c r="G65" s="3" t="s">
        <v>192</v>
      </c>
      <c r="H65" s="3" t="s">
        <v>193</v>
      </c>
      <c r="I65" s="3" t="s">
        <v>6</v>
      </c>
      <c r="J65" s="165" t="s">
        <v>0</v>
      </c>
      <c r="K65" s="3" t="s">
        <v>3</v>
      </c>
      <c r="L65" s="3" t="s">
        <v>4</v>
      </c>
      <c r="M65" s="3" t="s">
        <v>194</v>
      </c>
    </row>
    <row r="66" spans="2:13" ht="18.75" customHeight="1" x14ac:dyDescent="0.55000000000000004">
      <c r="B66" s="256" t="s">
        <v>10</v>
      </c>
      <c r="C66" s="257"/>
      <c r="D66" s="266">
        <f>D12</f>
        <v>40000</v>
      </c>
      <c r="E66" s="262">
        <v>0</v>
      </c>
      <c r="F66" s="262">
        <f>D14</f>
        <v>38000</v>
      </c>
      <c r="G66" s="262">
        <v>0</v>
      </c>
      <c r="H66" s="262">
        <v>0</v>
      </c>
      <c r="I66" s="262">
        <v>0</v>
      </c>
      <c r="J66" s="267">
        <f>D18</f>
        <v>131330.52873563219</v>
      </c>
      <c r="K66" s="262">
        <f>D19</f>
        <v>5000</v>
      </c>
      <c r="L66" s="262">
        <v>0</v>
      </c>
      <c r="M66" s="262">
        <f t="shared" ref="M66:M77" si="13">SUM(D66:L66)</f>
        <v>214330.52873563219</v>
      </c>
    </row>
    <row r="67" spans="2:13" ht="18.75" customHeight="1" x14ac:dyDescent="0.55000000000000004">
      <c r="B67" s="263" t="s">
        <v>37</v>
      </c>
      <c r="C67" s="264"/>
      <c r="D67" s="268">
        <f>E12</f>
        <v>138600</v>
      </c>
      <c r="E67" s="265">
        <v>20000</v>
      </c>
      <c r="F67" s="265">
        <f>E14</f>
        <v>60000</v>
      </c>
      <c r="G67" s="265">
        <v>0</v>
      </c>
      <c r="H67" s="265">
        <v>0</v>
      </c>
      <c r="I67" s="265">
        <f>E17</f>
        <v>9000</v>
      </c>
      <c r="J67" s="269">
        <f>E18</f>
        <v>169224.45977011495</v>
      </c>
      <c r="K67" s="265">
        <f>E19</f>
        <v>8000</v>
      </c>
      <c r="L67" s="265">
        <v>0</v>
      </c>
      <c r="M67" s="262">
        <f t="shared" si="13"/>
        <v>404824.45977011498</v>
      </c>
    </row>
    <row r="68" spans="2:13" ht="18.75" customHeight="1" x14ac:dyDescent="0.55000000000000004">
      <c r="B68" s="263" t="s">
        <v>11</v>
      </c>
      <c r="C68" s="264"/>
      <c r="D68" s="268">
        <f>F12</f>
        <v>105264</v>
      </c>
      <c r="E68" s="265">
        <v>0</v>
      </c>
      <c r="F68" s="265">
        <f>F14</f>
        <v>40000</v>
      </c>
      <c r="G68" s="265">
        <f>F15</f>
        <v>3000</v>
      </c>
      <c r="H68" s="265">
        <f>F16</f>
        <v>10526.400000000001</v>
      </c>
      <c r="I68" s="265">
        <f>F17</f>
        <v>15789.599999999999</v>
      </c>
      <c r="J68" s="269">
        <f>F18</f>
        <v>131330.52873563219</v>
      </c>
      <c r="K68" s="265">
        <f>F19</f>
        <v>6000</v>
      </c>
      <c r="L68" s="265">
        <f>F20</f>
        <v>7000</v>
      </c>
      <c r="M68" s="262">
        <f t="shared" si="13"/>
        <v>318910.52873563219</v>
      </c>
    </row>
    <row r="69" spans="2:13" ht="18.75" customHeight="1" x14ac:dyDescent="0.55000000000000004">
      <c r="B69" s="263" t="s">
        <v>12</v>
      </c>
      <c r="C69" s="264"/>
      <c r="D69" s="268">
        <f>G12</f>
        <v>75000</v>
      </c>
      <c r="E69" s="265">
        <v>0</v>
      </c>
      <c r="F69" s="265">
        <f>G14</f>
        <v>60000</v>
      </c>
      <c r="G69" s="265">
        <v>0</v>
      </c>
      <c r="H69" s="265">
        <v>0</v>
      </c>
      <c r="I69" s="265">
        <f>G17</f>
        <v>11250</v>
      </c>
      <c r="J69" s="269">
        <f>G18</f>
        <v>131330.52873563219</v>
      </c>
      <c r="K69" s="265">
        <f>G19</f>
        <v>8000</v>
      </c>
      <c r="L69" s="265">
        <f>G20</f>
        <v>17391</v>
      </c>
      <c r="M69" s="262">
        <f t="shared" si="13"/>
        <v>302971.52873563219</v>
      </c>
    </row>
    <row r="70" spans="2:13" ht="18.75" customHeight="1" x14ac:dyDescent="0.55000000000000004">
      <c r="B70" s="263" t="s">
        <v>13</v>
      </c>
      <c r="C70" s="264"/>
      <c r="D70" s="268">
        <f>H12</f>
        <v>115000</v>
      </c>
      <c r="E70" s="265">
        <v>0</v>
      </c>
      <c r="F70" s="265">
        <f>H14</f>
        <v>50000</v>
      </c>
      <c r="G70" s="265">
        <v>0</v>
      </c>
      <c r="H70" s="265">
        <v>0</v>
      </c>
      <c r="I70" s="265">
        <f>H17</f>
        <v>3750</v>
      </c>
      <c r="J70" s="269">
        <f>H18</f>
        <v>131330.52873563219</v>
      </c>
      <c r="K70" s="265">
        <f>H19</f>
        <v>8000</v>
      </c>
      <c r="L70" s="265">
        <f>H20</f>
        <v>13869</v>
      </c>
      <c r="M70" s="262">
        <f t="shared" si="13"/>
        <v>321949.52873563219</v>
      </c>
    </row>
    <row r="71" spans="2:13" ht="18.75" customHeight="1" x14ac:dyDescent="0.55000000000000004">
      <c r="B71" s="263" t="s">
        <v>14</v>
      </c>
      <c r="C71" s="264"/>
      <c r="D71" s="268">
        <f>I12</f>
        <v>65000</v>
      </c>
      <c r="E71" s="265">
        <v>0</v>
      </c>
      <c r="F71" s="265">
        <f>I14</f>
        <v>40000</v>
      </c>
      <c r="G71" s="265">
        <f>I15</f>
        <v>2000</v>
      </c>
      <c r="H71" s="265">
        <v>0</v>
      </c>
      <c r="I71" s="265">
        <f>I17</f>
        <v>4500</v>
      </c>
      <c r="J71" s="269">
        <f>I18</f>
        <v>131330.52873563219</v>
      </c>
      <c r="K71" s="265">
        <f>I19</f>
        <v>5000</v>
      </c>
      <c r="L71" s="265">
        <f>I20</f>
        <v>9078</v>
      </c>
      <c r="M71" s="262">
        <f t="shared" si="13"/>
        <v>256908.52873563219</v>
      </c>
    </row>
    <row r="72" spans="2:13" ht="18.75" customHeight="1" x14ac:dyDescent="0.55000000000000004">
      <c r="B72" s="294" t="s">
        <v>15</v>
      </c>
      <c r="C72" s="295"/>
      <c r="D72" s="268">
        <f>J12</f>
        <v>35000</v>
      </c>
      <c r="E72" s="265">
        <v>0</v>
      </c>
      <c r="F72" s="265">
        <f>J14</f>
        <v>35000</v>
      </c>
      <c r="G72" s="265">
        <v>0</v>
      </c>
      <c r="H72" s="265">
        <v>0</v>
      </c>
      <c r="I72" s="265">
        <f>J17</f>
        <v>5250</v>
      </c>
      <c r="J72" s="269">
        <f>J18</f>
        <v>78265.264367816097</v>
      </c>
      <c r="K72" s="265">
        <f>J19</f>
        <v>5000</v>
      </c>
      <c r="L72" s="265">
        <f>J20</f>
        <v>5359</v>
      </c>
      <c r="M72" s="262">
        <f t="shared" si="13"/>
        <v>163874.2643678161</v>
      </c>
    </row>
    <row r="73" spans="2:13" ht="18.75" customHeight="1" x14ac:dyDescent="0.55000000000000004">
      <c r="B73" s="294" t="s">
        <v>16</v>
      </c>
      <c r="C73" s="295"/>
      <c r="D73" s="268">
        <f>K12</f>
        <v>60000</v>
      </c>
      <c r="E73" s="265">
        <v>0</v>
      </c>
      <c r="F73" s="265">
        <f>K14</f>
        <v>40000</v>
      </c>
      <c r="G73" s="265">
        <f>K15</f>
        <v>3700</v>
      </c>
      <c r="H73" s="265">
        <f>K16</f>
        <v>3000</v>
      </c>
      <c r="I73" s="265">
        <f>K17</f>
        <v>4500</v>
      </c>
      <c r="J73" s="269">
        <f>K18</f>
        <v>131330.52873563219</v>
      </c>
      <c r="K73" s="265">
        <f>K19</f>
        <v>6000</v>
      </c>
      <c r="L73" s="265">
        <v>0</v>
      </c>
      <c r="M73" s="262">
        <f t="shared" si="13"/>
        <v>248530.52873563219</v>
      </c>
    </row>
    <row r="74" spans="2:13" ht="18.75" customHeight="1" x14ac:dyDescent="0.55000000000000004">
      <c r="B74" s="294" t="s">
        <v>17</v>
      </c>
      <c r="C74" s="295"/>
      <c r="D74" s="268">
        <f>L12</f>
        <v>45000</v>
      </c>
      <c r="E74" s="265">
        <v>0</v>
      </c>
      <c r="F74" s="265">
        <f>L14</f>
        <v>35000</v>
      </c>
      <c r="G74" s="265">
        <f>L15</f>
        <v>1100</v>
      </c>
      <c r="H74" s="265">
        <v>0</v>
      </c>
      <c r="I74" s="265">
        <f>L17</f>
        <v>6750</v>
      </c>
      <c r="J74" s="269">
        <f>L18</f>
        <v>84612.229885057473</v>
      </c>
      <c r="K74" s="265">
        <f>L19</f>
        <v>5000</v>
      </c>
      <c r="L74" s="265">
        <f>L20</f>
        <v>7131</v>
      </c>
      <c r="M74" s="262">
        <f t="shared" si="13"/>
        <v>184593.22988505749</v>
      </c>
    </row>
    <row r="75" spans="2:13" ht="18.75" customHeight="1" x14ac:dyDescent="0.55000000000000004">
      <c r="B75" s="294" t="s">
        <v>18</v>
      </c>
      <c r="C75" s="295"/>
      <c r="D75" s="268">
        <f>M12</f>
        <v>60000</v>
      </c>
      <c r="E75" s="265">
        <v>0</v>
      </c>
      <c r="F75" s="265">
        <f>M14</f>
        <v>20000</v>
      </c>
      <c r="G75" s="265">
        <f>M15</f>
        <v>2000</v>
      </c>
      <c r="H75" s="265">
        <f>M16</f>
        <v>6000</v>
      </c>
      <c r="I75" s="265">
        <v>0</v>
      </c>
      <c r="J75" s="269">
        <f>M18</f>
        <v>131330.52873563219</v>
      </c>
      <c r="K75" s="265">
        <f>M19</f>
        <v>5000</v>
      </c>
      <c r="L75" s="265">
        <f>M20</f>
        <v>4375</v>
      </c>
      <c r="M75" s="262">
        <f t="shared" si="13"/>
        <v>228705.52873563219</v>
      </c>
    </row>
    <row r="76" spans="2:13" ht="18.75" customHeight="1" x14ac:dyDescent="0.55000000000000004">
      <c r="B76" s="294" t="s">
        <v>19</v>
      </c>
      <c r="C76" s="295"/>
      <c r="D76" s="268">
        <f>N12</f>
        <v>35000</v>
      </c>
      <c r="E76" s="265">
        <v>0</v>
      </c>
      <c r="F76" s="265">
        <f>N14</f>
        <v>25000</v>
      </c>
      <c r="G76" s="265">
        <v>0</v>
      </c>
      <c r="H76" s="265">
        <v>0</v>
      </c>
      <c r="I76" s="265">
        <f>N17</f>
        <v>5250</v>
      </c>
      <c r="J76" s="269">
        <f>N18</f>
        <v>78265.264367816097</v>
      </c>
      <c r="K76" s="265">
        <f>N19</f>
        <v>5000</v>
      </c>
      <c r="L76" s="265">
        <f>N20</f>
        <v>5381</v>
      </c>
      <c r="M76" s="262">
        <f t="shared" si="13"/>
        <v>153896.2643678161</v>
      </c>
    </row>
    <row r="77" spans="2:13" ht="18.75" customHeight="1" x14ac:dyDescent="0.55000000000000004">
      <c r="B77" s="296" t="s">
        <v>41</v>
      </c>
      <c r="C77" s="297"/>
      <c r="D77" s="268">
        <f>O12</f>
        <v>40000</v>
      </c>
      <c r="E77" s="265">
        <v>0</v>
      </c>
      <c r="F77" s="265">
        <f>O14</f>
        <v>30000</v>
      </c>
      <c r="G77" s="265">
        <f>O15</f>
        <v>2000</v>
      </c>
      <c r="H77" s="265">
        <v>0</v>
      </c>
      <c r="I77" s="265">
        <f>O17</f>
        <v>6000</v>
      </c>
      <c r="J77" s="269">
        <f>O18</f>
        <v>131330.52873563219</v>
      </c>
      <c r="K77" s="265">
        <f>O19</f>
        <v>5000</v>
      </c>
      <c r="L77" s="265">
        <f>O20</f>
        <v>8333.3333333333339</v>
      </c>
      <c r="M77" s="262">
        <f t="shared" si="13"/>
        <v>222663.86206896554</v>
      </c>
    </row>
    <row r="78" spans="2:13" ht="14.7" thickBot="1" x14ac:dyDescent="0.6">
      <c r="D78" s="270">
        <f t="shared" ref="D78:M78" si="14">SUM(D66:D77)</f>
        <v>813864</v>
      </c>
      <c r="E78" s="270">
        <f t="shared" si="14"/>
        <v>20000</v>
      </c>
      <c r="F78" s="270">
        <f t="shared" si="14"/>
        <v>473000</v>
      </c>
      <c r="G78" s="270">
        <f t="shared" si="14"/>
        <v>13800</v>
      </c>
      <c r="H78" s="270">
        <f t="shared" si="14"/>
        <v>19526.400000000001</v>
      </c>
      <c r="I78" s="270">
        <f t="shared" si="14"/>
        <v>72039.600000000006</v>
      </c>
      <c r="J78" s="271">
        <f t="shared" si="14"/>
        <v>1461011.4482758618</v>
      </c>
      <c r="K78" s="270">
        <f t="shared" si="14"/>
        <v>71000</v>
      </c>
      <c r="L78" s="270">
        <f t="shared" si="14"/>
        <v>77917.333333333328</v>
      </c>
      <c r="M78" s="270">
        <f t="shared" si="14"/>
        <v>3022158.7816091953</v>
      </c>
    </row>
    <row r="83" spans="2:7" ht="15" customHeight="1" x14ac:dyDescent="0.55000000000000004">
      <c r="B83" s="300" t="s">
        <v>36</v>
      </c>
      <c r="C83" s="301"/>
      <c r="D83" s="298" t="s">
        <v>196</v>
      </c>
      <c r="E83" s="298" t="s">
        <v>197</v>
      </c>
      <c r="F83" s="298" t="s">
        <v>203</v>
      </c>
      <c r="G83" s="298" t="s">
        <v>204</v>
      </c>
    </row>
    <row r="84" spans="2:7" ht="32.25" customHeight="1" thickBot="1" x14ac:dyDescent="0.6">
      <c r="B84" s="302"/>
      <c r="C84" s="303"/>
      <c r="D84" s="299"/>
      <c r="E84" s="299"/>
      <c r="F84" s="299"/>
      <c r="G84" s="299"/>
    </row>
    <row r="85" spans="2:7" ht="22.5" customHeight="1" x14ac:dyDescent="0.55000000000000004">
      <c r="B85" s="256" t="s">
        <v>10</v>
      </c>
      <c r="C85" s="257"/>
      <c r="D85" s="272" t="s">
        <v>198</v>
      </c>
      <c r="E85" s="272" t="s">
        <v>198</v>
      </c>
      <c r="F85" s="272" t="s">
        <v>200</v>
      </c>
      <c r="G85" s="272">
        <f t="shared" ref="G85:G96" si="15">E85+F85</f>
        <v>6</v>
      </c>
    </row>
    <row r="86" spans="2:7" ht="22.5" customHeight="1" x14ac:dyDescent="0.55000000000000004">
      <c r="B86" s="263" t="s">
        <v>37</v>
      </c>
      <c r="C86" s="264"/>
      <c r="D86" s="273" t="s">
        <v>198</v>
      </c>
      <c r="E86" s="273" t="s">
        <v>198</v>
      </c>
      <c r="F86" s="273" t="s">
        <v>201</v>
      </c>
      <c r="G86" s="272">
        <f t="shared" si="15"/>
        <v>8</v>
      </c>
    </row>
    <row r="87" spans="2:7" ht="22.5" customHeight="1" x14ac:dyDescent="0.55000000000000004">
      <c r="B87" s="263" t="s">
        <v>11</v>
      </c>
      <c r="C87" s="264"/>
      <c r="D87" s="273" t="s">
        <v>198</v>
      </c>
      <c r="E87" s="273" t="s">
        <v>198</v>
      </c>
      <c r="F87" s="273" t="s">
        <v>200</v>
      </c>
      <c r="G87" s="272">
        <f t="shared" si="15"/>
        <v>6</v>
      </c>
    </row>
    <row r="88" spans="2:7" ht="22.5" customHeight="1" x14ac:dyDescent="0.55000000000000004">
      <c r="B88" s="263" t="s">
        <v>12</v>
      </c>
      <c r="C88" s="264"/>
      <c r="D88" s="273" t="s">
        <v>198</v>
      </c>
      <c r="E88" s="273" t="s">
        <v>198</v>
      </c>
      <c r="F88" s="273" t="s">
        <v>200</v>
      </c>
      <c r="G88" s="272">
        <f t="shared" si="15"/>
        <v>6</v>
      </c>
    </row>
    <row r="89" spans="2:7" ht="22.5" customHeight="1" x14ac:dyDescent="0.55000000000000004">
      <c r="B89" s="263" t="s">
        <v>13</v>
      </c>
      <c r="C89" s="264"/>
      <c r="D89" s="273" t="s">
        <v>198</v>
      </c>
      <c r="E89" s="273" t="s">
        <v>198</v>
      </c>
      <c r="F89" s="273" t="s">
        <v>200</v>
      </c>
      <c r="G89" s="272">
        <f t="shared" si="15"/>
        <v>6</v>
      </c>
    </row>
    <row r="90" spans="2:7" ht="22.5" customHeight="1" x14ac:dyDescent="0.55000000000000004">
      <c r="B90" s="263" t="s">
        <v>14</v>
      </c>
      <c r="C90" s="264"/>
      <c r="D90" s="273" t="s">
        <v>198</v>
      </c>
      <c r="E90" s="273" t="s">
        <v>198</v>
      </c>
      <c r="F90" s="273" t="s">
        <v>200</v>
      </c>
      <c r="G90" s="272">
        <f t="shared" si="15"/>
        <v>6</v>
      </c>
    </row>
    <row r="91" spans="2:7" ht="22.5" customHeight="1" x14ac:dyDescent="0.55000000000000004">
      <c r="B91" s="294" t="s">
        <v>15</v>
      </c>
      <c r="C91" s="295"/>
      <c r="D91" s="273" t="s">
        <v>199</v>
      </c>
      <c r="E91" s="273" t="s">
        <v>199</v>
      </c>
      <c r="F91" s="273" t="s">
        <v>198</v>
      </c>
      <c r="G91" s="272">
        <f t="shared" si="15"/>
        <v>3</v>
      </c>
    </row>
    <row r="92" spans="2:7" ht="22.5" customHeight="1" x14ac:dyDescent="0.55000000000000004">
      <c r="B92" s="294" t="s">
        <v>16</v>
      </c>
      <c r="C92" s="295"/>
      <c r="D92" s="273" t="s">
        <v>198</v>
      </c>
      <c r="E92" s="273" t="s">
        <v>198</v>
      </c>
      <c r="F92" s="273" t="s">
        <v>200</v>
      </c>
      <c r="G92" s="272">
        <f t="shared" si="15"/>
        <v>6</v>
      </c>
    </row>
    <row r="93" spans="2:7" ht="22.5" customHeight="1" x14ac:dyDescent="0.55000000000000004">
      <c r="B93" s="294" t="s">
        <v>17</v>
      </c>
      <c r="C93" s="295"/>
      <c r="D93" s="273" t="s">
        <v>198</v>
      </c>
      <c r="E93" s="273" t="s">
        <v>199</v>
      </c>
      <c r="F93" s="273" t="s">
        <v>202</v>
      </c>
      <c r="G93" s="272">
        <f t="shared" si="15"/>
        <v>4</v>
      </c>
    </row>
    <row r="94" spans="2:7" ht="22.5" customHeight="1" x14ac:dyDescent="0.55000000000000004">
      <c r="B94" s="294" t="s">
        <v>18</v>
      </c>
      <c r="C94" s="295"/>
      <c r="D94" s="273" t="s">
        <v>198</v>
      </c>
      <c r="E94" s="273" t="s">
        <v>198</v>
      </c>
      <c r="F94" s="273" t="s">
        <v>200</v>
      </c>
      <c r="G94" s="272">
        <f t="shared" si="15"/>
        <v>6</v>
      </c>
    </row>
    <row r="95" spans="2:7" ht="22.5" customHeight="1" x14ac:dyDescent="0.55000000000000004">
      <c r="B95" s="294" t="s">
        <v>19</v>
      </c>
      <c r="C95" s="295"/>
      <c r="D95" s="273" t="s">
        <v>199</v>
      </c>
      <c r="E95" s="273" t="s">
        <v>199</v>
      </c>
      <c r="F95" s="273" t="s">
        <v>198</v>
      </c>
      <c r="G95" s="272">
        <f t="shared" si="15"/>
        <v>3</v>
      </c>
    </row>
    <row r="96" spans="2:7" ht="22.5" customHeight="1" x14ac:dyDescent="0.55000000000000004">
      <c r="B96" s="296" t="s">
        <v>41</v>
      </c>
      <c r="C96" s="297"/>
      <c r="D96" s="273" t="s">
        <v>198</v>
      </c>
      <c r="E96" s="273" t="s">
        <v>198</v>
      </c>
      <c r="F96" s="273" t="s">
        <v>200</v>
      </c>
      <c r="G96" s="272">
        <f t="shared" si="15"/>
        <v>6</v>
      </c>
    </row>
  </sheetData>
  <mergeCells count="30">
    <mergeCell ref="I47:I48"/>
    <mergeCell ref="G83:G84"/>
    <mergeCell ref="D64:M64"/>
    <mergeCell ref="B64:C65"/>
    <mergeCell ref="B72:C72"/>
    <mergeCell ref="B73:C73"/>
    <mergeCell ref="B74:C74"/>
    <mergeCell ref="F83:F84"/>
    <mergeCell ref="B77:C77"/>
    <mergeCell ref="B75:C75"/>
    <mergeCell ref="B47:C48"/>
    <mergeCell ref="D47:E47"/>
    <mergeCell ref="F47:F48"/>
    <mergeCell ref="G47:H47"/>
    <mergeCell ref="B56:C56"/>
    <mergeCell ref="B57:C57"/>
    <mergeCell ref="B95:C95"/>
    <mergeCell ref="B96:C96"/>
    <mergeCell ref="D83:D84"/>
    <mergeCell ref="E83:E84"/>
    <mergeCell ref="B55:C55"/>
    <mergeCell ref="B83:C84"/>
    <mergeCell ref="B91:C91"/>
    <mergeCell ref="B92:C92"/>
    <mergeCell ref="B93:C93"/>
    <mergeCell ref="B58:C58"/>
    <mergeCell ref="B59:C59"/>
    <mergeCell ref="B60:C60"/>
    <mergeCell ref="B76:C76"/>
    <mergeCell ref="B94:C94"/>
  </mergeCells>
  <printOptions horizontalCentered="1"/>
  <pageMargins left="0.23622047244094491" right="0.23622047244094491" top="0.51181102362204722" bottom="0.51181102362204722" header="0.31496062992125984" footer="0.31496062992125984"/>
  <pageSetup paperSize="9" scale="3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F6EF-7EF1-4C61-A352-BC987855D00C}">
  <dimension ref="A1:W112"/>
  <sheetViews>
    <sheetView showGridLines="0" topLeftCell="A31" workbookViewId="0">
      <selection activeCell="J95" sqref="J95"/>
    </sheetView>
  </sheetViews>
  <sheetFormatPr defaultColWidth="8.83984375" defaultRowHeight="14.4" x14ac:dyDescent="0.55000000000000004"/>
  <cols>
    <col min="1" max="1" width="14.83984375" style="88" customWidth="1"/>
    <col min="2" max="2" width="18.26171875" style="88" customWidth="1"/>
    <col min="3" max="3" width="21" style="88" customWidth="1"/>
    <col min="4" max="4" width="17.89453125" style="88" customWidth="1"/>
    <col min="5" max="5" width="18.68359375" style="88" customWidth="1"/>
    <col min="6" max="6" width="20.83984375" style="88" customWidth="1"/>
    <col min="7" max="9" width="14.41796875" style="88" customWidth="1"/>
    <col min="10" max="12" width="12.83984375" style="88" customWidth="1"/>
    <col min="13" max="13" width="15.20703125" style="88" bestFit="1" customWidth="1"/>
    <col min="14" max="14" width="15.47265625" style="88" customWidth="1"/>
    <col min="15" max="15" width="14.15625" style="88" customWidth="1"/>
    <col min="16" max="16384" width="8.83984375" style="88"/>
  </cols>
  <sheetData>
    <row r="1" spans="1:23" x14ac:dyDescent="0.55000000000000004">
      <c r="M1" s="280" t="s">
        <v>205</v>
      </c>
      <c r="N1" s="280" t="s">
        <v>235</v>
      </c>
    </row>
    <row r="2" spans="1:23" x14ac:dyDescent="0.55000000000000004">
      <c r="M2" s="282"/>
      <c r="N2" s="282"/>
    </row>
    <row r="3" spans="1:23" ht="18.3" x14ac:dyDescent="0.7">
      <c r="A3" s="311" t="s">
        <v>214</v>
      </c>
      <c r="B3" s="311"/>
      <c r="C3" s="311"/>
      <c r="D3" s="311"/>
      <c r="E3" s="311"/>
      <c r="F3" s="311"/>
      <c r="G3" s="152"/>
      <c r="H3" s="152"/>
      <c r="I3" s="152"/>
      <c r="J3" s="152"/>
      <c r="K3" s="152"/>
      <c r="L3" s="152"/>
      <c r="M3" s="282"/>
      <c r="N3" s="282"/>
      <c r="O3" s="152"/>
    </row>
    <row r="4" spans="1:23" ht="18.3" x14ac:dyDescent="0.7">
      <c r="A4" s="151"/>
      <c r="B4" s="151"/>
      <c r="C4" s="151"/>
      <c r="D4" s="151"/>
      <c r="E4" s="151"/>
      <c r="F4" s="151"/>
      <c r="G4" s="152"/>
      <c r="H4" s="152"/>
      <c r="I4" s="152"/>
      <c r="J4" s="152"/>
      <c r="K4" s="152"/>
      <c r="L4" s="152"/>
      <c r="M4" s="282"/>
      <c r="N4" s="282"/>
      <c r="O4" s="152"/>
    </row>
    <row r="5" spans="1:23" s="157" customFormat="1" ht="46.15" customHeight="1" x14ac:dyDescent="0.6">
      <c r="A5" s="155" t="s">
        <v>213</v>
      </c>
      <c r="B5" s="155" t="s">
        <v>212</v>
      </c>
      <c r="C5" s="155" t="s">
        <v>211</v>
      </c>
      <c r="D5" s="155" t="s">
        <v>210</v>
      </c>
      <c r="E5" s="155" t="s">
        <v>206</v>
      </c>
      <c r="F5" s="155" t="s">
        <v>209</v>
      </c>
      <c r="G5" s="156" t="s">
        <v>205</v>
      </c>
      <c r="H5" s="156"/>
      <c r="I5" s="156"/>
      <c r="J5" s="157" t="s">
        <v>215</v>
      </c>
      <c r="M5" s="283"/>
      <c r="N5" s="283"/>
      <c r="O5" s="169" t="s">
        <v>216</v>
      </c>
      <c r="P5" s="170">
        <v>5.0000000000000001E-3</v>
      </c>
      <c r="Q5" s="173">
        <v>0.6</v>
      </c>
      <c r="R5" s="174">
        <v>7.4999999999999997E-3</v>
      </c>
      <c r="V5" s="155" t="s">
        <v>208</v>
      </c>
      <c r="W5" s="155" t="s">
        <v>207</v>
      </c>
    </row>
    <row r="6" spans="1:23" s="164" customFormat="1" x14ac:dyDescent="0.55000000000000004">
      <c r="A6" s="161">
        <v>45962</v>
      </c>
      <c r="B6" s="161">
        <v>46142</v>
      </c>
      <c r="C6" s="163" t="str">
        <f>'[1]Breakeven- avg GP'!D5</f>
        <v>Banani</v>
      </c>
      <c r="D6" s="158">
        <v>4338578.84</v>
      </c>
      <c r="E6" s="159">
        <f t="shared" ref="E6:E16" si="0">D6/((B6-A6+1)/30)</f>
        <v>719101.46519337012</v>
      </c>
      <c r="F6" s="160">
        <f t="shared" ref="F6:F16" si="1">D6/(B6-A6+1)</f>
        <v>23970.048839779003</v>
      </c>
      <c r="G6" s="161">
        <f>'Breakeven- avg GP (3)'!K49</f>
        <v>1190725.1596424012</v>
      </c>
      <c r="H6" s="161"/>
      <c r="I6" s="161"/>
      <c r="J6" s="161">
        <f>(E6/G6)*100</f>
        <v>60.391893072061301</v>
      </c>
      <c r="K6" s="161"/>
      <c r="L6" s="161"/>
      <c r="M6" s="171">
        <f>G6*0.5</f>
        <v>595362.57982120058</v>
      </c>
      <c r="N6" s="172">
        <f>0.5%*M6</f>
        <v>2976.812899106003</v>
      </c>
      <c r="O6" s="175">
        <f>G6*$Q$5</f>
        <v>714435.09578544064</v>
      </c>
      <c r="P6" s="175">
        <f>O6*$R$5</f>
        <v>5358.2632183908045</v>
      </c>
      <c r="T6" s="164">
        <f t="shared" ref="T6:T16" si="2">(B6-A6+1)/30</f>
        <v>6.0333333333333332</v>
      </c>
      <c r="U6" s="164">
        <f t="shared" ref="U6:U16" si="3">B6-A6+1</f>
        <v>181</v>
      </c>
    </row>
    <row r="7" spans="1:23" s="164" customFormat="1" x14ac:dyDescent="0.55000000000000004">
      <c r="A7" s="161">
        <v>45962</v>
      </c>
      <c r="B7" s="161">
        <v>46142</v>
      </c>
      <c r="C7" s="163" t="str">
        <f>'[1]Breakeven- avg GP'!E5</f>
        <v>Nikunja (Asian Tower)</v>
      </c>
      <c r="D7" s="158">
        <v>6205389.335</v>
      </c>
      <c r="E7" s="159">
        <f t="shared" si="0"/>
        <v>1028517.5693370166</v>
      </c>
      <c r="F7" s="160">
        <f t="shared" si="1"/>
        <v>34283.918977900554</v>
      </c>
      <c r="G7" s="161">
        <f>'Breakeven- avg GP (3)'!K50</f>
        <v>2249024.776500639</v>
      </c>
      <c r="H7" s="161"/>
      <c r="I7" s="161"/>
      <c r="J7" s="161">
        <f t="shared" ref="J7:J16" si="4">(E7/G7)*100</f>
        <v>45.731713589093239</v>
      </c>
      <c r="K7" s="161"/>
      <c r="L7" s="161"/>
      <c r="M7" s="171">
        <f t="shared" ref="M7:M16" si="5">G7*0.5</f>
        <v>1124512.3882503195</v>
      </c>
      <c r="N7" s="172">
        <f t="shared" ref="N7:N16" si="6">0.5%*M7</f>
        <v>5622.561941251598</v>
      </c>
      <c r="O7" s="175">
        <f>G7*$Q$5</f>
        <v>1349414.8659003833</v>
      </c>
      <c r="P7" s="175">
        <f t="shared" ref="P7:P16" si="7">O7*$R$5</f>
        <v>10120.611494252875</v>
      </c>
      <c r="T7" s="164">
        <f t="shared" si="2"/>
        <v>6.0333333333333332</v>
      </c>
      <c r="U7" s="164">
        <f t="shared" si="3"/>
        <v>181</v>
      </c>
    </row>
    <row r="8" spans="1:23" s="164" customFormat="1" x14ac:dyDescent="0.55000000000000004">
      <c r="A8" s="161">
        <v>45962</v>
      </c>
      <c r="B8" s="161">
        <v>46142</v>
      </c>
      <c r="C8" s="163" t="str">
        <f>'[1]Breakeven- avg GP'!F5</f>
        <v>Lalmatia</v>
      </c>
      <c r="D8" s="158">
        <v>3300320.39</v>
      </c>
      <c r="E8" s="159">
        <f t="shared" si="0"/>
        <v>547014.42928176804</v>
      </c>
      <c r="F8" s="160">
        <f t="shared" si="1"/>
        <v>18233.814309392266</v>
      </c>
      <c r="G8" s="161">
        <f>'Breakeven- avg GP (3)'!K51</f>
        <v>1771725.1596424012</v>
      </c>
      <c r="H8" s="161"/>
      <c r="I8" s="161"/>
      <c r="J8" s="161">
        <f t="shared" si="4"/>
        <v>30.874677503150405</v>
      </c>
      <c r="K8" s="161"/>
      <c r="L8" s="161"/>
      <c r="M8" s="171">
        <f t="shared" si="5"/>
        <v>885862.57982120058</v>
      </c>
      <c r="N8" s="172">
        <f t="shared" si="6"/>
        <v>4429.312899106003</v>
      </c>
      <c r="O8" s="175">
        <f t="shared" ref="O8:O16" si="8">G8*$Q$5</f>
        <v>1063035.0957854406</v>
      </c>
      <c r="P8" s="175">
        <f t="shared" si="7"/>
        <v>7972.7632183908045</v>
      </c>
      <c r="T8" s="164">
        <f t="shared" si="2"/>
        <v>6.0333333333333332</v>
      </c>
      <c r="U8" s="164">
        <f t="shared" si="3"/>
        <v>181</v>
      </c>
    </row>
    <row r="9" spans="1:23" s="164" customFormat="1" x14ac:dyDescent="0.55000000000000004">
      <c r="A9" s="161">
        <v>45984</v>
      </c>
      <c r="B9" s="161">
        <v>46142</v>
      </c>
      <c r="C9" s="163" t="str">
        <f>'[1]Breakeven- avg GP'!G5</f>
        <v>Nurjahan Road</v>
      </c>
      <c r="D9" s="158">
        <v>1908903.23999999</v>
      </c>
      <c r="E9" s="159">
        <f t="shared" si="0"/>
        <v>360170.42264150758</v>
      </c>
      <c r="F9" s="160">
        <f t="shared" si="1"/>
        <v>12005.680754716917</v>
      </c>
      <c r="G9" s="161">
        <f>'Breakeven- avg GP (3)'!K52</f>
        <v>1683175.1596424012</v>
      </c>
      <c r="H9" s="161"/>
      <c r="I9" s="161"/>
      <c r="J9" s="161">
        <f t="shared" si="4"/>
        <v>21.398273410714282</v>
      </c>
      <c r="K9" s="161"/>
      <c r="L9" s="161"/>
      <c r="M9" s="171">
        <f t="shared" si="5"/>
        <v>841587.57982120058</v>
      </c>
      <c r="N9" s="172">
        <f t="shared" si="6"/>
        <v>4207.937899106003</v>
      </c>
      <c r="O9" s="175">
        <f>G9*$Q$5</f>
        <v>1009905.0957854406</v>
      </c>
      <c r="P9" s="175">
        <f t="shared" si="7"/>
        <v>7574.2882183908041</v>
      </c>
      <c r="T9" s="164">
        <f t="shared" si="2"/>
        <v>5.3</v>
      </c>
      <c r="U9" s="164">
        <f t="shared" si="3"/>
        <v>159</v>
      </c>
    </row>
    <row r="10" spans="1:23" s="164" customFormat="1" x14ac:dyDescent="0.55000000000000004">
      <c r="A10" s="161">
        <v>46025</v>
      </c>
      <c r="B10" s="161">
        <v>46142</v>
      </c>
      <c r="C10" s="163" t="str">
        <f>'[1]Breakeven- avg GP'!H5</f>
        <v>Benaroshi Polli</v>
      </c>
      <c r="D10" s="158">
        <v>1400828.04999999</v>
      </c>
      <c r="E10" s="159">
        <f>D10/((B10-A10+1)/30)</f>
        <v>356142.72457626869</v>
      </c>
      <c r="F10" s="160">
        <f>D10/(B10-A10+1)</f>
        <v>11871.424152542288</v>
      </c>
      <c r="G10" s="161">
        <f>'Breakeven- avg GP (3)'!K53</f>
        <v>1788608.4929757344</v>
      </c>
      <c r="H10" s="161"/>
      <c r="I10" s="161"/>
      <c r="J10" s="161">
        <f>(E10/G10)*100</f>
        <v>19.911720534422198</v>
      </c>
      <c r="K10" s="161"/>
      <c r="L10" s="161"/>
      <c r="M10" s="171">
        <f>G10*0.5</f>
        <v>894304.2464878672</v>
      </c>
      <c r="N10" s="172">
        <f t="shared" si="6"/>
        <v>4471.521232439336</v>
      </c>
      <c r="O10" s="175">
        <f t="shared" si="8"/>
        <v>1073165.0957854406</v>
      </c>
      <c r="P10" s="175">
        <f t="shared" si="7"/>
        <v>8048.7382183908048</v>
      </c>
      <c r="T10" s="164">
        <f>(B10-A10+1)/30</f>
        <v>3.9333333333333331</v>
      </c>
      <c r="U10" s="164">
        <f>B10-A10+1</f>
        <v>118</v>
      </c>
    </row>
    <row r="11" spans="1:23" s="164" customFormat="1" x14ac:dyDescent="0.55000000000000004">
      <c r="A11" s="161">
        <v>46005</v>
      </c>
      <c r="B11" s="161">
        <v>46142</v>
      </c>
      <c r="C11" s="163" t="str">
        <f>'[1]Breakeven- avg GP'!I5</f>
        <v>Fakirapul</v>
      </c>
      <c r="D11" s="158">
        <v>1169386.1499999999</v>
      </c>
      <c r="E11" s="159">
        <f t="shared" si="0"/>
        <v>254214.38043478262</v>
      </c>
      <c r="F11" s="160">
        <f t="shared" si="1"/>
        <v>8473.8126811594193</v>
      </c>
      <c r="G11" s="161">
        <f>'Breakeven- avg GP (3)'!K54</f>
        <v>1427269.6040868456</v>
      </c>
      <c r="H11" s="161"/>
      <c r="I11" s="161"/>
      <c r="J11" s="161">
        <f t="shared" si="4"/>
        <v>17.811237604084386</v>
      </c>
      <c r="K11" s="161"/>
      <c r="L11" s="161"/>
      <c r="M11" s="171">
        <f t="shared" si="5"/>
        <v>713634.80204342282</v>
      </c>
      <c r="N11" s="172">
        <f t="shared" si="6"/>
        <v>3568.1740102171143</v>
      </c>
      <c r="O11" s="175">
        <f t="shared" si="8"/>
        <v>856361.76245210739</v>
      </c>
      <c r="P11" s="175">
        <f t="shared" si="7"/>
        <v>6422.7132183908052</v>
      </c>
      <c r="T11" s="164">
        <f t="shared" si="2"/>
        <v>4.5999999999999996</v>
      </c>
      <c r="U11" s="164">
        <f t="shared" si="3"/>
        <v>138</v>
      </c>
    </row>
    <row r="12" spans="1:23" s="164" customFormat="1" x14ac:dyDescent="0.55000000000000004">
      <c r="A12" s="161">
        <v>46044</v>
      </c>
      <c r="B12" s="161">
        <v>46142</v>
      </c>
      <c r="C12" s="163" t="str">
        <f>'[1]Breakeven- avg GP'!J5</f>
        <v>Mirpur DOHS</v>
      </c>
      <c r="D12" s="158">
        <v>902166.98</v>
      </c>
      <c r="E12" s="159">
        <f t="shared" si="0"/>
        <v>273383.93333333335</v>
      </c>
      <c r="F12" s="160">
        <f t="shared" si="1"/>
        <v>9112.7977777777778</v>
      </c>
      <c r="G12" s="161">
        <f>'Breakeven- avg GP (3)'!K55</f>
        <v>910412.57982120058</v>
      </c>
      <c r="H12" s="161"/>
      <c r="I12" s="161"/>
      <c r="J12" s="161">
        <f t="shared" si="4"/>
        <v>30.02857598771584</v>
      </c>
      <c r="K12" s="161"/>
      <c r="L12" s="161"/>
      <c r="M12" s="171">
        <f t="shared" si="5"/>
        <v>455206.28991060029</v>
      </c>
      <c r="N12" s="172">
        <f t="shared" si="6"/>
        <v>2276.0314495530015</v>
      </c>
      <c r="O12" s="175">
        <f t="shared" si="8"/>
        <v>546247.54789272032</v>
      </c>
      <c r="P12" s="175">
        <f t="shared" si="7"/>
        <v>4096.8566091954026</v>
      </c>
      <c r="T12" s="164">
        <f t="shared" si="2"/>
        <v>3.3</v>
      </c>
      <c r="U12" s="164">
        <f t="shared" si="3"/>
        <v>99</v>
      </c>
    </row>
    <row r="13" spans="1:23" s="164" customFormat="1" x14ac:dyDescent="0.55000000000000004">
      <c r="A13" s="161">
        <v>46088</v>
      </c>
      <c r="B13" s="161">
        <v>46142</v>
      </c>
      <c r="C13" s="163" t="str">
        <f>'[1]Breakeven- avg GP'!K5</f>
        <v>Kazipara</v>
      </c>
      <c r="D13" s="158">
        <v>951725.43</v>
      </c>
      <c r="E13" s="159">
        <f t="shared" si="0"/>
        <v>519122.96181818185</v>
      </c>
      <c r="F13" s="160">
        <f t="shared" si="1"/>
        <v>17304.098727272729</v>
      </c>
      <c r="G13" s="161">
        <f>'Breakeven- avg GP (3)'!K56</f>
        <v>1380725.1596424012</v>
      </c>
      <c r="H13" s="161"/>
      <c r="I13" s="161"/>
      <c r="J13" s="161">
        <f t="shared" si="4"/>
        <v>37.597849086246192</v>
      </c>
      <c r="K13" s="161"/>
      <c r="L13" s="161"/>
      <c r="M13" s="171">
        <f t="shared" si="5"/>
        <v>690362.57982120058</v>
      </c>
      <c r="N13" s="172">
        <f t="shared" si="6"/>
        <v>3451.812899106003</v>
      </c>
      <c r="O13" s="175">
        <f>G13*$Q$5</f>
        <v>828435.09578544064</v>
      </c>
      <c r="P13" s="175">
        <f t="shared" si="7"/>
        <v>6213.2632183908045</v>
      </c>
      <c r="T13" s="164">
        <f t="shared" si="2"/>
        <v>1.8333333333333333</v>
      </c>
      <c r="U13" s="164">
        <f t="shared" si="3"/>
        <v>55</v>
      </c>
    </row>
    <row r="14" spans="1:23" s="164" customFormat="1" x14ac:dyDescent="0.55000000000000004">
      <c r="A14" s="161">
        <v>46094</v>
      </c>
      <c r="B14" s="161">
        <v>46142</v>
      </c>
      <c r="C14" s="163" t="str">
        <f>'[1]Breakeven- avg GP'!L5</f>
        <v>Mirpur-6</v>
      </c>
      <c r="D14" s="158">
        <v>585818.68000000005</v>
      </c>
      <c r="E14" s="159">
        <f t="shared" si="0"/>
        <v>358664.4979591837</v>
      </c>
      <c r="F14" s="160">
        <f t="shared" si="1"/>
        <v>11955.483265306124</v>
      </c>
      <c r="G14" s="161">
        <f>'Breakeven- avg GP (3)'!K57</f>
        <v>1025517.943805875</v>
      </c>
      <c r="H14" s="161"/>
      <c r="I14" s="161"/>
      <c r="J14" s="161">
        <f t="shared" si="4"/>
        <v>34.973985596791948</v>
      </c>
      <c r="K14" s="161"/>
      <c r="L14" s="161"/>
      <c r="M14" s="171">
        <f t="shared" si="5"/>
        <v>512758.97190293751</v>
      </c>
      <c r="N14" s="172">
        <f t="shared" si="6"/>
        <v>2563.7948595146877</v>
      </c>
      <c r="O14" s="175">
        <f t="shared" si="8"/>
        <v>615310.76628352504</v>
      </c>
      <c r="P14" s="175">
        <f t="shared" si="7"/>
        <v>4614.8307471264379</v>
      </c>
      <c r="T14" s="164">
        <f t="shared" si="2"/>
        <v>1.6333333333333333</v>
      </c>
      <c r="U14" s="164">
        <f t="shared" si="3"/>
        <v>49</v>
      </c>
    </row>
    <row r="15" spans="1:23" s="164" customFormat="1" x14ac:dyDescent="0.55000000000000004">
      <c r="A15" s="161">
        <v>46097</v>
      </c>
      <c r="B15" s="161">
        <v>46142</v>
      </c>
      <c r="C15" s="163" t="str">
        <f>'[1]Breakeven- avg GP'!M5</f>
        <v>Banani DOHS</v>
      </c>
      <c r="D15" s="158">
        <v>1181240.26</v>
      </c>
      <c r="E15" s="159">
        <f t="shared" si="0"/>
        <v>770374.08260869561</v>
      </c>
      <c r="F15" s="160">
        <f t="shared" si="1"/>
        <v>25679.136086956521</v>
      </c>
      <c r="G15" s="161">
        <f>'Breakeven- avg GP (3)'!K58</f>
        <v>1270586.2707535122</v>
      </c>
      <c r="H15" s="161"/>
      <c r="I15" s="161"/>
      <c r="J15" s="161">
        <f t="shared" si="4"/>
        <v>60.631387284850071</v>
      </c>
      <c r="K15" s="161"/>
      <c r="L15" s="161"/>
      <c r="M15" s="171">
        <f t="shared" si="5"/>
        <v>635293.13537675608</v>
      </c>
      <c r="N15" s="172">
        <f t="shared" si="6"/>
        <v>3176.4656768837804</v>
      </c>
      <c r="O15" s="175">
        <f t="shared" si="8"/>
        <v>762351.76245210727</v>
      </c>
      <c r="P15" s="175">
        <f t="shared" si="7"/>
        <v>5717.6382183908045</v>
      </c>
      <c r="T15" s="164">
        <f t="shared" si="2"/>
        <v>1.5333333333333334</v>
      </c>
      <c r="U15" s="164">
        <f t="shared" si="3"/>
        <v>46</v>
      </c>
    </row>
    <row r="16" spans="1:23" s="164" customFormat="1" x14ac:dyDescent="0.55000000000000004">
      <c r="A16" s="161">
        <v>46138</v>
      </c>
      <c r="B16" s="161">
        <v>46142</v>
      </c>
      <c r="C16" s="163" t="str">
        <f>'[1]Breakeven- avg GP'!N5</f>
        <v>Nikunja 01</v>
      </c>
      <c r="D16" s="158">
        <v>42303.45</v>
      </c>
      <c r="E16" s="159">
        <f t="shared" si="0"/>
        <v>253820.69999999998</v>
      </c>
      <c r="F16" s="160">
        <f t="shared" si="1"/>
        <v>8460.6899999999987</v>
      </c>
      <c r="G16" s="161">
        <f>'Breakeven- avg GP (3)'!K59</f>
        <v>854979.2464878672</v>
      </c>
      <c r="H16" s="161"/>
      <c r="I16" s="161"/>
      <c r="J16" s="161">
        <f t="shared" si="4"/>
        <v>29.687352183419563</v>
      </c>
      <c r="K16" s="161"/>
      <c r="L16" s="161"/>
      <c r="M16" s="171">
        <f t="shared" si="5"/>
        <v>427489.6232439336</v>
      </c>
      <c r="N16" s="172">
        <f t="shared" si="6"/>
        <v>2137.448116219668</v>
      </c>
      <c r="O16" s="175">
        <f t="shared" si="8"/>
        <v>512987.54789272032</v>
      </c>
      <c r="P16" s="175">
        <f t="shared" si="7"/>
        <v>3847.4066091954023</v>
      </c>
      <c r="T16" s="164">
        <f t="shared" si="2"/>
        <v>0.16666666666666666</v>
      </c>
      <c r="U16" s="164">
        <f t="shared" si="3"/>
        <v>5</v>
      </c>
    </row>
    <row r="17" spans="1:13" x14ac:dyDescent="0.55000000000000004">
      <c r="D17" s="154"/>
      <c r="E17" s="154"/>
      <c r="F17" s="154"/>
      <c r="G17" s="154"/>
      <c r="H17" s="154"/>
      <c r="I17" s="154"/>
      <c r="J17" s="154"/>
      <c r="K17" s="154"/>
      <c r="L17" s="154"/>
      <c r="M17" s="154"/>
    </row>
    <row r="20" spans="1:13" x14ac:dyDescent="0.55000000000000004">
      <c r="B20" s="162" t="s">
        <v>217</v>
      </c>
      <c r="C20" s="176" t="s">
        <v>237</v>
      </c>
      <c r="D20" s="176" t="s">
        <v>238</v>
      </c>
      <c r="E20" s="176" t="s">
        <v>239</v>
      </c>
      <c r="F20" s="176" t="s">
        <v>240</v>
      </c>
      <c r="G20" s="176" t="s">
        <v>241</v>
      </c>
      <c r="H20" s="176" t="s">
        <v>242</v>
      </c>
      <c r="I20" s="176" t="s">
        <v>243</v>
      </c>
      <c r="J20" s="176" t="s">
        <v>244</v>
      </c>
    </row>
    <row r="21" spans="1:13" x14ac:dyDescent="0.55000000000000004">
      <c r="B21" s="162" t="s">
        <v>218</v>
      </c>
      <c r="C21" s="177">
        <v>5.0000000000000001E-3</v>
      </c>
      <c r="D21" s="177">
        <v>7.4999999999999997E-3</v>
      </c>
      <c r="E21" s="176">
        <v>0.01</v>
      </c>
      <c r="F21" s="177">
        <v>1.2500000000000001E-2</v>
      </c>
      <c r="G21" s="177">
        <v>1.4999999999999999E-2</v>
      </c>
      <c r="H21" s="176">
        <v>0.05</v>
      </c>
      <c r="I21" s="176">
        <v>0.06</v>
      </c>
      <c r="J21" s="176">
        <v>7.0000000000000007E-2</v>
      </c>
    </row>
    <row r="23" spans="1:13" x14ac:dyDescent="0.55000000000000004">
      <c r="D23" s="278"/>
      <c r="E23" s="278"/>
      <c r="F23" s="279"/>
    </row>
    <row r="24" spans="1:13" x14ac:dyDescent="0.55000000000000004">
      <c r="D24" s="278"/>
      <c r="E24" s="278"/>
      <c r="F24" s="279"/>
    </row>
    <row r="25" spans="1:13" x14ac:dyDescent="0.55000000000000004">
      <c r="A25" s="338" t="s">
        <v>245</v>
      </c>
      <c r="B25" s="162"/>
      <c r="C25" s="162" t="s">
        <v>225</v>
      </c>
      <c r="D25" s="280" t="s">
        <v>229</v>
      </c>
      <c r="E25" s="162" t="s">
        <v>230</v>
      </c>
      <c r="F25" s="162" t="s">
        <v>228</v>
      </c>
      <c r="G25" s="280" t="s">
        <v>226</v>
      </c>
      <c r="H25" s="280" t="s">
        <v>205</v>
      </c>
      <c r="I25" s="280" t="s">
        <v>235</v>
      </c>
      <c r="J25" s="281" t="s">
        <v>227</v>
      </c>
    </row>
    <row r="26" spans="1:13" x14ac:dyDescent="0.55000000000000004">
      <c r="A26" s="88">
        <v>31</v>
      </c>
      <c r="B26" s="309" t="s">
        <v>10</v>
      </c>
      <c r="C26" s="162" t="s">
        <v>221</v>
      </c>
      <c r="D26" s="141">
        <v>811487</v>
      </c>
      <c r="E26" s="288">
        <f>31000*31</f>
        <v>961000</v>
      </c>
      <c r="F26" s="281">
        <f>D26/E26*100</f>
        <v>84.441935483870964</v>
      </c>
      <c r="G26" s="282">
        <v>7100</v>
      </c>
      <c r="H26" s="288">
        <f>31000*31</f>
        <v>961000</v>
      </c>
      <c r="I26" s="282">
        <f>D26/H26*100</f>
        <v>84.441935483870964</v>
      </c>
      <c r="J26" s="281">
        <f>D26*F21</f>
        <v>10143.587500000001</v>
      </c>
    </row>
    <row r="27" spans="1:13" x14ac:dyDescent="0.55000000000000004">
      <c r="A27" s="88">
        <v>28</v>
      </c>
      <c r="B27" s="309"/>
      <c r="C27" s="162" t="s">
        <v>222</v>
      </c>
      <c r="D27" s="141">
        <v>689034</v>
      </c>
      <c r="E27" s="286">
        <f>31000*28</f>
        <v>868000</v>
      </c>
      <c r="F27" s="281">
        <f t="shared" ref="F27:F29" si="9">D27/E27*100</f>
        <v>79.381797235023043</v>
      </c>
      <c r="G27" s="282">
        <v>7800</v>
      </c>
      <c r="H27" s="286">
        <f>31000*28</f>
        <v>868000</v>
      </c>
      <c r="I27" s="282">
        <f t="shared" ref="I27:I29" si="10">D27/H27*100</f>
        <v>79.381797235023043</v>
      </c>
      <c r="J27" s="281">
        <f>D27*E21</f>
        <v>6890.34</v>
      </c>
    </row>
    <row r="28" spans="1:13" x14ac:dyDescent="0.55000000000000004">
      <c r="A28" s="88">
        <v>31</v>
      </c>
      <c r="B28" s="309"/>
      <c r="C28" s="162" t="s">
        <v>223</v>
      </c>
      <c r="D28" s="141">
        <v>836699</v>
      </c>
      <c r="E28" s="286">
        <f>31000*31</f>
        <v>961000</v>
      </c>
      <c r="F28" s="281">
        <f>D28/E28*100</f>
        <v>87.065452653485949</v>
      </c>
      <c r="G28" s="282">
        <v>11800</v>
      </c>
      <c r="H28" s="286">
        <f>31000*31</f>
        <v>961000</v>
      </c>
      <c r="I28" s="282">
        <f t="shared" si="10"/>
        <v>87.065452653485949</v>
      </c>
      <c r="J28" s="281">
        <f>D28*F21</f>
        <v>10458.737500000001</v>
      </c>
    </row>
    <row r="29" spans="1:13" ht="15" customHeight="1" x14ac:dyDescent="0.55000000000000004">
      <c r="A29" s="88">
        <v>30</v>
      </c>
      <c r="B29" s="309"/>
      <c r="C29" s="162" t="s">
        <v>224</v>
      </c>
      <c r="D29" s="141">
        <v>714728</v>
      </c>
      <c r="E29" s="287">
        <f>31000*30</f>
        <v>930000</v>
      </c>
      <c r="F29" s="281">
        <f t="shared" si="9"/>
        <v>76.852473118279576</v>
      </c>
      <c r="G29" s="283">
        <f>2500+1800</f>
        <v>4300</v>
      </c>
      <c r="H29" s="287">
        <f>31000*30</f>
        <v>930000</v>
      </c>
      <c r="I29" s="282">
        <f t="shared" si="10"/>
        <v>76.852473118279576</v>
      </c>
      <c r="J29" s="281">
        <f>D29*E21</f>
        <v>7147.28</v>
      </c>
    </row>
    <row r="30" spans="1:13" ht="15" customHeight="1" x14ac:dyDescent="0.55000000000000004">
      <c r="B30" s="87" t="s">
        <v>232</v>
      </c>
      <c r="D30" s="285">
        <f>SUM(D26:D29)</f>
        <v>3051948</v>
      </c>
      <c r="E30" s="278">
        <f t="shared" ref="E30:J30" si="11">SUM(E26:E29)</f>
        <v>3720000</v>
      </c>
      <c r="F30" s="290">
        <f t="shared" si="11"/>
        <v>327.74165849065952</v>
      </c>
      <c r="G30" s="278">
        <f t="shared" si="11"/>
        <v>31000</v>
      </c>
      <c r="H30" s="278"/>
      <c r="I30" s="278"/>
      <c r="J30" s="290">
        <f t="shared" si="11"/>
        <v>34639.945</v>
      </c>
    </row>
    <row r="31" spans="1:13" ht="15" customHeight="1" x14ac:dyDescent="0.55000000000000004">
      <c r="B31" s="87"/>
      <c r="D31" s="278"/>
      <c r="G31" s="284"/>
      <c r="H31" s="284"/>
      <c r="I31" s="284"/>
      <c r="J31" s="279"/>
    </row>
    <row r="32" spans="1:13" x14ac:dyDescent="0.55000000000000004">
      <c r="D32" s="310"/>
      <c r="E32" s="310"/>
      <c r="F32" s="279"/>
    </row>
    <row r="33" spans="1:10" x14ac:dyDescent="0.55000000000000004">
      <c r="B33" s="162"/>
      <c r="C33" s="162" t="s">
        <v>225</v>
      </c>
      <c r="D33" s="280" t="s">
        <v>229</v>
      </c>
      <c r="E33" s="162" t="s">
        <v>230</v>
      </c>
      <c r="F33" s="162" t="s">
        <v>228</v>
      </c>
      <c r="G33" s="280" t="s">
        <v>226</v>
      </c>
      <c r="H33" s="280" t="s">
        <v>205</v>
      </c>
      <c r="I33" s="280" t="s">
        <v>235</v>
      </c>
      <c r="J33" s="281" t="s">
        <v>227</v>
      </c>
    </row>
    <row r="34" spans="1:10" x14ac:dyDescent="0.55000000000000004">
      <c r="B34" s="309" t="s">
        <v>11</v>
      </c>
      <c r="C34" s="162" t="s">
        <v>221</v>
      </c>
      <c r="D34" s="141">
        <v>556246</v>
      </c>
      <c r="E34" s="288">
        <f>33000*31</f>
        <v>1023000</v>
      </c>
      <c r="F34" s="281">
        <f>D34/E34*100</f>
        <v>54.373998044965788</v>
      </c>
      <c r="G34" s="282">
        <v>800</v>
      </c>
      <c r="H34" s="291">
        <f>33000*31</f>
        <v>1023000</v>
      </c>
      <c r="I34" s="282">
        <f>D34/H34*100</f>
        <v>54.373998044965788</v>
      </c>
      <c r="J34" s="281">
        <f>D34*C21</f>
        <v>2781.23</v>
      </c>
    </row>
    <row r="35" spans="1:10" x14ac:dyDescent="0.55000000000000004">
      <c r="B35" s="309"/>
      <c r="C35" s="162" t="s">
        <v>222</v>
      </c>
      <c r="D35" s="141">
        <v>581480</v>
      </c>
      <c r="E35" s="286">
        <f>33000*28</f>
        <v>924000</v>
      </c>
      <c r="F35" s="281">
        <f t="shared" ref="F35:F37" si="12">D35/E35*100</f>
        <v>62.930735930735928</v>
      </c>
      <c r="G35" s="282">
        <v>1800</v>
      </c>
      <c r="H35" s="292">
        <f>33000*28</f>
        <v>924000</v>
      </c>
      <c r="I35" s="282">
        <f>D35/H35*100</f>
        <v>62.930735930735928</v>
      </c>
      <c r="J35" s="281">
        <f>D35*D21</f>
        <v>4361.0999999999995</v>
      </c>
    </row>
    <row r="36" spans="1:10" x14ac:dyDescent="0.55000000000000004">
      <c r="B36" s="309"/>
      <c r="C36" s="162" t="s">
        <v>223</v>
      </c>
      <c r="D36" s="141">
        <v>619527</v>
      </c>
      <c r="E36" s="286">
        <f>33000*31</f>
        <v>1023000</v>
      </c>
      <c r="F36" s="281">
        <f>D36/E36*100</f>
        <v>60.559824046920816</v>
      </c>
      <c r="G36" s="282">
        <v>1600</v>
      </c>
      <c r="H36" s="292">
        <f>33000*31</f>
        <v>1023000</v>
      </c>
      <c r="I36" s="282">
        <f t="shared" ref="I36" si="13">D36/H36*100</f>
        <v>60.559824046920816</v>
      </c>
      <c r="J36" s="281">
        <f>D36*D21</f>
        <v>4646.4524999999994</v>
      </c>
    </row>
    <row r="37" spans="1:10" x14ac:dyDescent="0.55000000000000004">
      <c r="B37" s="309"/>
      <c r="C37" s="162" t="s">
        <v>224</v>
      </c>
      <c r="D37" s="141">
        <v>711082</v>
      </c>
      <c r="E37" s="287">
        <f>33000*30</f>
        <v>990000</v>
      </c>
      <c r="F37" s="281">
        <f t="shared" si="12"/>
        <v>71.826464646464643</v>
      </c>
      <c r="G37" s="283">
        <v>3000</v>
      </c>
      <c r="H37" s="293">
        <f>33000*30</f>
        <v>990000</v>
      </c>
      <c r="I37" s="282">
        <f>D37/H37*100</f>
        <v>71.826464646464643</v>
      </c>
      <c r="J37" s="281">
        <f>D37*E21</f>
        <v>7110.82</v>
      </c>
    </row>
    <row r="38" spans="1:10" x14ac:dyDescent="0.55000000000000004">
      <c r="B38" s="87" t="s">
        <v>232</v>
      </c>
      <c r="D38" s="285">
        <f>SUM(D34:D37)</f>
        <v>2468335</v>
      </c>
      <c r="E38" s="278">
        <f>SUM(E35:E37)</f>
        <v>2937000</v>
      </c>
      <c r="F38" s="290">
        <f>SUM(F35:F37)</f>
        <v>195.31702462412139</v>
      </c>
      <c r="G38" s="278">
        <f>SUM(G35:G37)</f>
        <v>6400</v>
      </c>
      <c r="H38" s="278"/>
      <c r="I38" s="278"/>
      <c r="J38" s="290">
        <f>SUM(J35:J37)</f>
        <v>16118.372499999998</v>
      </c>
    </row>
    <row r="40" spans="1:10" x14ac:dyDescent="0.55000000000000004">
      <c r="A40" s="88" t="s">
        <v>246</v>
      </c>
      <c r="B40" s="162"/>
      <c r="C40" s="162" t="s">
        <v>225</v>
      </c>
      <c r="D40" s="280" t="s">
        <v>229</v>
      </c>
      <c r="E40" s="162" t="s">
        <v>230</v>
      </c>
      <c r="F40" s="162" t="s">
        <v>228</v>
      </c>
      <c r="G40" s="280" t="s">
        <v>226</v>
      </c>
      <c r="H40" s="280" t="s">
        <v>205</v>
      </c>
      <c r="I40" s="280" t="s">
        <v>235</v>
      </c>
      <c r="J40" s="281" t="s">
        <v>227</v>
      </c>
    </row>
    <row r="41" spans="1:10" x14ac:dyDescent="0.55000000000000004">
      <c r="B41" s="309" t="s">
        <v>231</v>
      </c>
      <c r="C41" s="162" t="s">
        <v>221</v>
      </c>
      <c r="D41" s="286">
        <v>1049100</v>
      </c>
      <c r="E41" s="288">
        <f>61000*31</f>
        <v>1891000</v>
      </c>
      <c r="F41" s="281">
        <f>D41/E41*100</f>
        <v>55.478582760444205</v>
      </c>
      <c r="G41" s="282">
        <v>1000</v>
      </c>
      <c r="H41" s="288">
        <f>61000*31</f>
        <v>1891000</v>
      </c>
      <c r="I41" s="282">
        <f>D41/H41*100</f>
        <v>55.478582760444205</v>
      </c>
      <c r="J41" s="281">
        <f>D41*C21</f>
        <v>5245.5</v>
      </c>
    </row>
    <row r="42" spans="1:10" x14ac:dyDescent="0.55000000000000004">
      <c r="B42" s="309"/>
      <c r="C42" s="162" t="s">
        <v>222</v>
      </c>
      <c r="D42" s="286">
        <v>930796</v>
      </c>
      <c r="E42" s="286">
        <f>61000*28</f>
        <v>1708000</v>
      </c>
      <c r="F42" s="281">
        <f t="shared" ref="F42:F44" si="14">D42/E42*100</f>
        <v>54.496252927400469</v>
      </c>
      <c r="G42" s="282"/>
      <c r="H42" s="286">
        <f>61000*28</f>
        <v>1708000</v>
      </c>
      <c r="I42" s="282">
        <f>D42/H42*100</f>
        <v>54.496252927400469</v>
      </c>
      <c r="J42" s="281">
        <f>D42*C21</f>
        <v>4653.9800000000005</v>
      </c>
    </row>
    <row r="43" spans="1:10" x14ac:dyDescent="0.55000000000000004">
      <c r="B43" s="309"/>
      <c r="C43" s="162" t="s">
        <v>223</v>
      </c>
      <c r="D43" s="286">
        <v>892677</v>
      </c>
      <c r="E43" s="286">
        <f>61000*31</f>
        <v>1891000</v>
      </c>
      <c r="F43" s="281">
        <f>D43/E43*100</f>
        <v>47.206610259122158</v>
      </c>
      <c r="G43" s="282"/>
      <c r="H43" s="286">
        <f>61000*31</f>
        <v>1891000</v>
      </c>
      <c r="I43" s="282">
        <f t="shared" ref="I43" si="15">D43/H43*100</f>
        <v>47.206610259122158</v>
      </c>
      <c r="J43" s="281">
        <f t="shared" ref="J43" si="16">D43*C23</f>
        <v>0</v>
      </c>
    </row>
    <row r="44" spans="1:10" x14ac:dyDescent="0.55000000000000004">
      <c r="B44" s="309"/>
      <c r="C44" s="162" t="s">
        <v>224</v>
      </c>
      <c r="D44" s="287">
        <v>1735659</v>
      </c>
      <c r="E44" s="287">
        <f>61000*30</f>
        <v>1830000</v>
      </c>
      <c r="F44" s="281">
        <f t="shared" si="14"/>
        <v>94.844754098360653</v>
      </c>
      <c r="G44" s="283">
        <v>13000</v>
      </c>
      <c r="H44" s="287">
        <f>61000*30</f>
        <v>1830000</v>
      </c>
      <c r="I44" s="282">
        <f>D44/H44*100</f>
        <v>94.844754098360653</v>
      </c>
      <c r="J44" s="281">
        <f>D44*G21</f>
        <v>26034.884999999998</v>
      </c>
    </row>
    <row r="45" spans="1:10" x14ac:dyDescent="0.55000000000000004">
      <c r="B45" s="87" t="s">
        <v>232</v>
      </c>
      <c r="D45" s="278">
        <f>SUM(D41:D44)</f>
        <v>4608232</v>
      </c>
      <c r="E45" s="278">
        <f>SUM(E42:E44)</f>
        <v>5429000</v>
      </c>
      <c r="F45" s="290">
        <f>SUM(F42:F44)</f>
        <v>196.54761728488327</v>
      </c>
      <c r="G45" s="278">
        <f>SUM(G42:G44)</f>
        <v>13000</v>
      </c>
      <c r="H45" s="278"/>
      <c r="I45" s="278"/>
      <c r="J45" s="281">
        <f>SUM(J42:J44)</f>
        <v>30688.864999999998</v>
      </c>
    </row>
    <row r="47" spans="1:10" x14ac:dyDescent="0.55000000000000004">
      <c r="B47" s="162"/>
      <c r="C47" s="162" t="s">
        <v>225</v>
      </c>
      <c r="D47" s="280" t="s">
        <v>229</v>
      </c>
      <c r="E47" s="162" t="s">
        <v>230</v>
      </c>
      <c r="F47" s="162" t="s">
        <v>228</v>
      </c>
      <c r="G47" s="280" t="s">
        <v>226</v>
      </c>
      <c r="H47" s="280" t="s">
        <v>205</v>
      </c>
      <c r="I47" s="280" t="s">
        <v>235</v>
      </c>
      <c r="J47" s="281" t="s">
        <v>227</v>
      </c>
    </row>
    <row r="48" spans="1:10" x14ac:dyDescent="0.55000000000000004">
      <c r="B48" s="309" t="s">
        <v>233</v>
      </c>
      <c r="C48" s="162" t="s">
        <v>221</v>
      </c>
      <c r="D48" s="286">
        <v>194544</v>
      </c>
      <c r="E48" s="288">
        <f>27000*31</f>
        <v>837000</v>
      </c>
      <c r="F48" s="281">
        <f>D48/E48*100</f>
        <v>23.243010752688171</v>
      </c>
      <c r="G48" s="282"/>
      <c r="H48" s="288">
        <f>27000*31</f>
        <v>837000</v>
      </c>
      <c r="I48" s="282">
        <f>D48/H48*100</f>
        <v>23.243010752688171</v>
      </c>
      <c r="J48" s="281"/>
    </row>
    <row r="49" spans="2:10" x14ac:dyDescent="0.55000000000000004">
      <c r="B49" s="309"/>
      <c r="C49" s="162" t="s">
        <v>222</v>
      </c>
      <c r="D49" s="286">
        <v>240130</v>
      </c>
      <c r="E49" s="286">
        <f>27000*28</f>
        <v>756000</v>
      </c>
      <c r="F49" s="281">
        <f t="shared" ref="F49:F51" si="17">D49/E49*100</f>
        <v>31.763227513227516</v>
      </c>
      <c r="G49" s="282"/>
      <c r="H49" s="286">
        <f>27000*28</f>
        <v>756000</v>
      </c>
      <c r="I49" s="282">
        <f t="shared" ref="I49:I51" si="18">D49/H49*100</f>
        <v>31.763227513227516</v>
      </c>
      <c r="J49" s="281"/>
    </row>
    <row r="50" spans="2:10" x14ac:dyDescent="0.55000000000000004">
      <c r="B50" s="309"/>
      <c r="C50" s="162" t="s">
        <v>223</v>
      </c>
      <c r="D50" s="286">
        <v>282406</v>
      </c>
      <c r="E50" s="286">
        <f>27000*31</f>
        <v>837000</v>
      </c>
      <c r="F50" s="281">
        <f>D50/E50*100</f>
        <v>33.740262843488651</v>
      </c>
      <c r="G50" s="282">
        <v>500</v>
      </c>
      <c r="H50" s="286">
        <f>27000*31</f>
        <v>837000</v>
      </c>
      <c r="I50" s="282">
        <f t="shared" si="18"/>
        <v>33.740262843488651</v>
      </c>
      <c r="J50" s="281"/>
    </row>
    <row r="51" spans="2:10" x14ac:dyDescent="0.55000000000000004">
      <c r="B51" s="309"/>
      <c r="C51" s="162" t="s">
        <v>224</v>
      </c>
      <c r="D51" s="287">
        <v>363565</v>
      </c>
      <c r="E51" s="287">
        <f>27000*30</f>
        <v>810000</v>
      </c>
      <c r="F51" s="281">
        <f t="shared" si="17"/>
        <v>44.884567901234568</v>
      </c>
      <c r="G51" s="283"/>
      <c r="H51" s="287">
        <f>27000*30</f>
        <v>810000</v>
      </c>
      <c r="I51" s="282">
        <f t="shared" si="18"/>
        <v>44.884567901234568</v>
      </c>
      <c r="J51" s="281"/>
    </row>
    <row r="52" spans="2:10" x14ac:dyDescent="0.55000000000000004">
      <c r="B52" s="87" t="s">
        <v>232</v>
      </c>
      <c r="D52" s="278">
        <f>SUM(D48:D51)</f>
        <v>1080645</v>
      </c>
      <c r="E52" s="278">
        <f t="shared" ref="E52" si="19">SUM(E48:E51)</f>
        <v>3240000</v>
      </c>
      <c r="F52" s="290">
        <f>SUM(F49:F51)</f>
        <v>110.38805825795075</v>
      </c>
      <c r="G52" s="278">
        <f t="shared" ref="G52" si="20">SUM(G48:G51)</f>
        <v>500</v>
      </c>
      <c r="H52" s="283"/>
      <c r="I52" s="283"/>
      <c r="J52" s="278">
        <f t="shared" ref="J52" si="21">SUM(J48:J51)</f>
        <v>0</v>
      </c>
    </row>
    <row r="54" spans="2:10" x14ac:dyDescent="0.55000000000000004">
      <c r="B54" s="162"/>
      <c r="C54" s="162" t="s">
        <v>225</v>
      </c>
      <c r="D54" s="280" t="s">
        <v>229</v>
      </c>
      <c r="E54" s="162" t="s">
        <v>230</v>
      </c>
      <c r="F54" s="162" t="s">
        <v>228</v>
      </c>
      <c r="G54" s="280" t="s">
        <v>226</v>
      </c>
      <c r="H54" s="280" t="s">
        <v>205</v>
      </c>
      <c r="I54" s="280" t="s">
        <v>235</v>
      </c>
      <c r="J54" s="281" t="s">
        <v>227</v>
      </c>
    </row>
    <row r="55" spans="2:10" x14ac:dyDescent="0.55000000000000004">
      <c r="B55" s="309" t="s">
        <v>18</v>
      </c>
      <c r="C55" s="162" t="s">
        <v>221</v>
      </c>
      <c r="D55" s="286">
        <v>0</v>
      </c>
      <c r="E55" s="288">
        <v>0</v>
      </c>
      <c r="F55" s="281"/>
      <c r="G55" s="282"/>
      <c r="H55" s="282"/>
      <c r="I55" s="282"/>
      <c r="J55" s="281"/>
    </row>
    <row r="56" spans="2:10" x14ac:dyDescent="0.55000000000000004">
      <c r="B56" s="309"/>
      <c r="C56" s="162" t="s">
        <v>222</v>
      </c>
      <c r="D56" s="286">
        <v>0</v>
      </c>
      <c r="E56" s="286">
        <v>0</v>
      </c>
      <c r="F56" s="281"/>
      <c r="G56" s="282"/>
      <c r="H56" s="282"/>
      <c r="I56" s="282"/>
      <c r="J56" s="281"/>
    </row>
    <row r="57" spans="2:10" x14ac:dyDescent="0.55000000000000004">
      <c r="B57" s="309"/>
      <c r="C57" s="162" t="s">
        <v>223</v>
      </c>
      <c r="D57" s="286">
        <v>313181</v>
      </c>
      <c r="E57" s="286">
        <f>30000*16</f>
        <v>480000</v>
      </c>
      <c r="F57" s="281">
        <f>D57/E57*100</f>
        <v>65.24604166666667</v>
      </c>
      <c r="G57" s="282">
        <v>2600</v>
      </c>
      <c r="H57" s="286">
        <f>30000*16</f>
        <v>480000</v>
      </c>
      <c r="I57" s="282">
        <f t="shared" ref="I57:I58" si="22">D57/H57*100</f>
        <v>65.24604166666667</v>
      </c>
      <c r="J57" s="281">
        <f>D57*D21</f>
        <v>2348.8575000000001</v>
      </c>
    </row>
    <row r="58" spans="2:10" x14ac:dyDescent="0.55000000000000004">
      <c r="B58" s="309"/>
      <c r="C58" s="162" t="s">
        <v>224</v>
      </c>
      <c r="D58" s="287">
        <v>853171</v>
      </c>
      <c r="E58" s="289">
        <f>30000*30</f>
        <v>900000</v>
      </c>
      <c r="F58" s="281">
        <f t="shared" ref="F58" si="23">D58/E58*100</f>
        <v>94.796777777777777</v>
      </c>
      <c r="G58" s="283">
        <f>4500+4900</f>
        <v>9400</v>
      </c>
      <c r="H58" s="289">
        <f>30000*30</f>
        <v>900000</v>
      </c>
      <c r="I58" s="282">
        <f t="shared" si="22"/>
        <v>94.796777777777777</v>
      </c>
      <c r="J58" s="281">
        <f>D58*G21</f>
        <v>12797.564999999999</v>
      </c>
    </row>
    <row r="59" spans="2:10" x14ac:dyDescent="0.55000000000000004">
      <c r="B59" s="87" t="s">
        <v>232</v>
      </c>
      <c r="D59" s="278">
        <f>SUM(D55:D58)</f>
        <v>1166352</v>
      </c>
      <c r="E59" s="278">
        <f t="shared" ref="E59" si="24">SUM(E55:E58)</f>
        <v>1380000</v>
      </c>
      <c r="F59" s="290"/>
      <c r="G59" s="278">
        <f t="shared" ref="G59" si="25">SUM(G55:G58)</f>
        <v>12000</v>
      </c>
      <c r="H59" s="283"/>
      <c r="I59" s="283"/>
      <c r="J59" s="339">
        <f t="shared" ref="J59" si="26">SUM(J55:J58)</f>
        <v>15146.422499999999</v>
      </c>
    </row>
    <row r="61" spans="2:10" x14ac:dyDescent="0.55000000000000004">
      <c r="B61" s="162"/>
      <c r="C61" s="162" t="s">
        <v>225</v>
      </c>
      <c r="D61" s="280" t="s">
        <v>229</v>
      </c>
      <c r="E61" s="162" t="s">
        <v>230</v>
      </c>
      <c r="F61" s="162" t="s">
        <v>228</v>
      </c>
      <c r="G61" s="280" t="s">
        <v>226</v>
      </c>
      <c r="H61" s="280" t="s">
        <v>205</v>
      </c>
      <c r="I61" s="280" t="s">
        <v>235</v>
      </c>
      <c r="J61" s="281" t="s">
        <v>227</v>
      </c>
    </row>
    <row r="62" spans="2:10" x14ac:dyDescent="0.55000000000000004">
      <c r="B62" s="309" t="s">
        <v>16</v>
      </c>
      <c r="C62" s="162" t="s">
        <v>221</v>
      </c>
      <c r="D62" s="286">
        <v>0</v>
      </c>
      <c r="E62" s="288">
        <v>0</v>
      </c>
      <c r="F62" s="281"/>
      <c r="G62" s="282"/>
      <c r="H62" s="282"/>
      <c r="I62" s="282"/>
      <c r="J62" s="281"/>
    </row>
    <row r="63" spans="2:10" x14ac:dyDescent="0.55000000000000004">
      <c r="B63" s="309"/>
      <c r="C63" s="162" t="s">
        <v>222</v>
      </c>
      <c r="D63" s="286">
        <v>0</v>
      </c>
      <c r="E63" s="286">
        <v>0</v>
      </c>
      <c r="F63" s="281"/>
      <c r="G63" s="282"/>
      <c r="H63" s="282"/>
      <c r="I63" s="282"/>
      <c r="J63" s="281"/>
    </row>
    <row r="64" spans="2:10" x14ac:dyDescent="0.55000000000000004">
      <c r="B64" s="309"/>
      <c r="C64" s="162" t="s">
        <v>223</v>
      </c>
      <c r="D64" s="286">
        <v>321609</v>
      </c>
      <c r="E64" s="141">
        <f>35000*25</f>
        <v>875000</v>
      </c>
      <c r="F64" s="281">
        <f>D64/E64*100</f>
        <v>36.755314285714284</v>
      </c>
      <c r="G64" s="282"/>
      <c r="H64" s="141">
        <f>35000*25</f>
        <v>875000</v>
      </c>
      <c r="I64" s="282">
        <f t="shared" ref="I64:I65" si="27">D64/H64*100</f>
        <v>36.755314285714284</v>
      </c>
      <c r="J64" s="281"/>
    </row>
    <row r="65" spans="2:10" x14ac:dyDescent="0.55000000000000004">
      <c r="B65" s="309"/>
      <c r="C65" s="162" t="s">
        <v>224</v>
      </c>
      <c r="D65" s="287">
        <v>616015</v>
      </c>
      <c r="E65" s="289">
        <f>35000*30</f>
        <v>1050000</v>
      </c>
      <c r="F65" s="281">
        <f t="shared" ref="F65" si="28">D65/E65*100</f>
        <v>58.668095238095241</v>
      </c>
      <c r="G65" s="283">
        <v>800</v>
      </c>
      <c r="H65" s="289">
        <f>35000*30</f>
        <v>1050000</v>
      </c>
      <c r="I65" s="282">
        <f t="shared" si="27"/>
        <v>58.668095238095241</v>
      </c>
      <c r="J65" s="281">
        <f>D65*C21</f>
        <v>3080.0750000000003</v>
      </c>
    </row>
    <row r="66" spans="2:10" x14ac:dyDescent="0.55000000000000004">
      <c r="B66" s="87" t="s">
        <v>232</v>
      </c>
      <c r="D66" s="278">
        <f>SUM(D62:D65)</f>
        <v>937624</v>
      </c>
      <c r="E66" s="278">
        <f t="shared" ref="E66" si="29">SUM(E62:E65)</f>
        <v>1925000</v>
      </c>
      <c r="F66" s="290"/>
      <c r="G66" s="278">
        <f t="shared" ref="G66" si="30">SUM(G62:G65)</f>
        <v>800</v>
      </c>
      <c r="H66" s="283"/>
      <c r="I66" s="283"/>
      <c r="J66" s="339">
        <f t="shared" ref="J66" si="31">SUM(J62:J65)</f>
        <v>3080.0750000000003</v>
      </c>
    </row>
    <row r="68" spans="2:10" x14ac:dyDescent="0.55000000000000004">
      <c r="B68" s="162"/>
      <c r="C68" s="162" t="s">
        <v>225</v>
      </c>
      <c r="D68" s="280" t="s">
        <v>229</v>
      </c>
      <c r="E68" s="162" t="s">
        <v>230</v>
      </c>
      <c r="F68" s="162" t="s">
        <v>228</v>
      </c>
      <c r="G68" s="280" t="s">
        <v>226</v>
      </c>
      <c r="H68" s="280" t="s">
        <v>205</v>
      </c>
      <c r="I68" s="280" t="s">
        <v>235</v>
      </c>
      <c r="J68" s="281" t="s">
        <v>227</v>
      </c>
    </row>
    <row r="69" spans="2:10" x14ac:dyDescent="0.55000000000000004">
      <c r="B69" s="309" t="s">
        <v>234</v>
      </c>
      <c r="C69" s="162" t="s">
        <v>221</v>
      </c>
      <c r="D69" s="286">
        <v>0</v>
      </c>
      <c r="E69" s="288">
        <v>0</v>
      </c>
      <c r="F69" s="281"/>
      <c r="G69" s="282"/>
      <c r="H69" s="282"/>
      <c r="I69" s="282"/>
      <c r="J69" s="281"/>
    </row>
    <row r="70" spans="2:10" x14ac:dyDescent="0.55000000000000004">
      <c r="B70" s="309"/>
      <c r="C70" s="162" t="s">
        <v>222</v>
      </c>
      <c r="D70" s="286">
        <v>0</v>
      </c>
      <c r="E70" s="286">
        <v>0</v>
      </c>
      <c r="F70" s="281"/>
      <c r="G70" s="282"/>
      <c r="H70" s="282"/>
      <c r="I70" s="282"/>
      <c r="J70" s="281"/>
    </row>
    <row r="71" spans="2:10" x14ac:dyDescent="0.55000000000000004">
      <c r="B71" s="309"/>
      <c r="C71" s="162" t="s">
        <v>223</v>
      </c>
      <c r="D71" s="286">
        <v>147476</v>
      </c>
      <c r="E71" s="141">
        <f>25000*19</f>
        <v>475000</v>
      </c>
      <c r="F71" s="281">
        <f>D71/E71*100</f>
        <v>31.047578947368422</v>
      </c>
      <c r="G71" s="282"/>
      <c r="H71" s="141">
        <f>25000*19</f>
        <v>475000</v>
      </c>
      <c r="I71" s="282">
        <f t="shared" ref="I71:I72" si="32">D71/H71*100</f>
        <v>31.047578947368422</v>
      </c>
      <c r="J71" s="281"/>
    </row>
    <row r="72" spans="2:10" x14ac:dyDescent="0.55000000000000004">
      <c r="B72" s="309"/>
      <c r="C72" s="162" t="s">
        <v>224</v>
      </c>
      <c r="D72" s="287">
        <v>432347</v>
      </c>
      <c r="E72" s="289">
        <f>25000*30</f>
        <v>750000</v>
      </c>
      <c r="F72" s="281">
        <f t="shared" ref="F72" si="33">D72/E72*100</f>
        <v>57.646266666666669</v>
      </c>
      <c r="G72" s="283">
        <v>1000</v>
      </c>
      <c r="H72" s="289">
        <f>25000*30</f>
        <v>750000</v>
      </c>
      <c r="I72" s="282">
        <f t="shared" si="32"/>
        <v>57.646266666666669</v>
      </c>
      <c r="J72" s="281">
        <f>D72*C21</f>
        <v>2161.7350000000001</v>
      </c>
    </row>
    <row r="73" spans="2:10" x14ac:dyDescent="0.55000000000000004">
      <c r="B73" s="87" t="s">
        <v>232</v>
      </c>
      <c r="D73" s="278">
        <f>SUM(D69:D72)</f>
        <v>579823</v>
      </c>
      <c r="E73" s="278">
        <f t="shared" ref="E73" si="34">SUM(E69:E72)</f>
        <v>1225000</v>
      </c>
      <c r="F73" s="290"/>
      <c r="G73" s="278">
        <f t="shared" ref="G73" si="35">SUM(G69:G72)</f>
        <v>1000</v>
      </c>
      <c r="H73" s="283"/>
      <c r="I73" s="283"/>
      <c r="J73" s="339">
        <f t="shared" ref="J73" si="36">SUM(J69:J72)</f>
        <v>2161.7350000000001</v>
      </c>
    </row>
    <row r="75" spans="2:10" x14ac:dyDescent="0.55000000000000004">
      <c r="B75" s="162"/>
      <c r="C75" s="162" t="s">
        <v>225</v>
      </c>
      <c r="D75" s="280" t="s">
        <v>229</v>
      </c>
      <c r="E75" s="162" t="s">
        <v>230</v>
      </c>
      <c r="F75" s="162" t="s">
        <v>228</v>
      </c>
      <c r="G75" s="280" t="s">
        <v>226</v>
      </c>
      <c r="H75" s="280" t="s">
        <v>205</v>
      </c>
      <c r="I75" s="280" t="s">
        <v>235</v>
      </c>
      <c r="J75" s="281" t="s">
        <v>227</v>
      </c>
    </row>
    <row r="76" spans="2:10" x14ac:dyDescent="0.55000000000000004">
      <c r="B76" s="309" t="s">
        <v>15</v>
      </c>
      <c r="C76" s="162" t="s">
        <v>221</v>
      </c>
      <c r="D76" s="286">
        <v>67097</v>
      </c>
      <c r="E76" s="288">
        <f>21000*10</f>
        <v>210000</v>
      </c>
      <c r="F76" s="281">
        <f>D76/E76*100</f>
        <v>31.95095238095238</v>
      </c>
      <c r="G76" s="282"/>
      <c r="H76" s="288">
        <f>21000*10</f>
        <v>210000</v>
      </c>
      <c r="I76" s="282">
        <f t="shared" ref="I76:I79" si="37">D76/H76*100</f>
        <v>31.95095238095238</v>
      </c>
      <c r="J76" s="281"/>
    </row>
    <row r="77" spans="2:10" x14ac:dyDescent="0.55000000000000004">
      <c r="B77" s="309"/>
      <c r="C77" s="162" t="s">
        <v>222</v>
      </c>
      <c r="D77" s="286">
        <v>237114</v>
      </c>
      <c r="E77" s="141">
        <f>21000*28</f>
        <v>588000</v>
      </c>
      <c r="F77" s="281">
        <f t="shared" ref="F77:F79" si="38">D77/E77*100</f>
        <v>40.325510204081631</v>
      </c>
      <c r="G77" s="282"/>
      <c r="H77" s="141">
        <f>21000*28</f>
        <v>588000</v>
      </c>
      <c r="I77" s="282">
        <f t="shared" si="37"/>
        <v>40.325510204081631</v>
      </c>
      <c r="J77" s="281"/>
    </row>
    <row r="78" spans="2:10" x14ac:dyDescent="0.55000000000000004">
      <c r="B78" s="309"/>
      <c r="C78" s="162" t="s">
        <v>223</v>
      </c>
      <c r="D78" s="286">
        <v>246487</v>
      </c>
      <c r="E78" s="141">
        <f>21000*31</f>
        <v>651000</v>
      </c>
      <c r="F78" s="281">
        <f>D78/E78*100</f>
        <v>37.86282642089094</v>
      </c>
      <c r="G78" s="282"/>
      <c r="H78" s="141">
        <f>21000*31</f>
        <v>651000</v>
      </c>
      <c r="I78" s="282">
        <f t="shared" si="37"/>
        <v>37.86282642089094</v>
      </c>
      <c r="J78" s="281"/>
    </row>
    <row r="79" spans="2:10" x14ac:dyDescent="0.55000000000000004">
      <c r="B79" s="309"/>
      <c r="C79" s="162" t="s">
        <v>224</v>
      </c>
      <c r="D79" s="287">
        <v>373554</v>
      </c>
      <c r="E79" s="289">
        <f>21000*30</f>
        <v>630000</v>
      </c>
      <c r="F79" s="281">
        <f t="shared" si="38"/>
        <v>59.294285714285714</v>
      </c>
      <c r="G79" s="283">
        <v>1000</v>
      </c>
      <c r="H79" s="289">
        <f>21000*30</f>
        <v>630000</v>
      </c>
      <c r="I79" s="282">
        <f t="shared" si="37"/>
        <v>59.294285714285714</v>
      </c>
      <c r="J79" s="281">
        <f>D79*C21</f>
        <v>1867.77</v>
      </c>
    </row>
    <row r="80" spans="2:10" x14ac:dyDescent="0.55000000000000004">
      <c r="B80" s="87" t="s">
        <v>232</v>
      </c>
      <c r="D80" s="278">
        <f>SUM(D76:D79)</f>
        <v>924252</v>
      </c>
      <c r="E80" s="278">
        <f t="shared" ref="E80" si="39">SUM(E76:E79)</f>
        <v>2079000</v>
      </c>
      <c r="F80" s="290">
        <f>SUM(F77:F79)</f>
        <v>137.48262233925828</v>
      </c>
      <c r="G80" s="278">
        <f t="shared" ref="G80" si="40">SUM(G76:G79)</f>
        <v>1000</v>
      </c>
      <c r="H80" s="283"/>
      <c r="I80" s="283"/>
      <c r="J80" s="339">
        <f t="shared" ref="J80" si="41">SUM(J76:J79)</f>
        <v>1867.77</v>
      </c>
    </row>
    <row r="82" spans="2:10" x14ac:dyDescent="0.55000000000000004">
      <c r="B82" s="162"/>
      <c r="C82" s="162" t="s">
        <v>225</v>
      </c>
      <c r="D82" s="280" t="s">
        <v>229</v>
      </c>
      <c r="E82" s="162" t="s">
        <v>230</v>
      </c>
      <c r="F82" s="162" t="s">
        <v>228</v>
      </c>
      <c r="G82" s="280" t="s">
        <v>226</v>
      </c>
      <c r="H82" s="280" t="s">
        <v>205</v>
      </c>
      <c r="I82" s="280" t="s">
        <v>235</v>
      </c>
      <c r="J82" s="281" t="s">
        <v>227</v>
      </c>
    </row>
    <row r="83" spans="2:10" x14ac:dyDescent="0.55000000000000004">
      <c r="B83" s="309" t="s">
        <v>236</v>
      </c>
      <c r="C83" s="162" t="s">
        <v>221</v>
      </c>
      <c r="D83" s="286">
        <v>393324</v>
      </c>
      <c r="E83" s="288">
        <f>40000*31</f>
        <v>1240000</v>
      </c>
      <c r="F83" s="281">
        <f>D83/E83*100</f>
        <v>31.719677419354841</v>
      </c>
      <c r="G83" s="282"/>
      <c r="H83" s="288">
        <f>40000*31</f>
        <v>1240000</v>
      </c>
      <c r="I83" s="282">
        <f t="shared" ref="I83:I86" si="42">D83/H83*100</f>
        <v>31.719677419354841</v>
      </c>
      <c r="J83" s="281"/>
    </row>
    <row r="84" spans="2:10" x14ac:dyDescent="0.55000000000000004">
      <c r="B84" s="309"/>
      <c r="C84" s="162" t="s">
        <v>222</v>
      </c>
      <c r="D84" s="286">
        <v>381242</v>
      </c>
      <c r="E84" s="286">
        <f>40000*28</f>
        <v>1120000</v>
      </c>
      <c r="F84" s="281">
        <f t="shared" ref="F84:F86" si="43">D84/E84*100</f>
        <v>34.039464285714288</v>
      </c>
      <c r="G84" s="282"/>
      <c r="H84" s="286">
        <f>40000*28</f>
        <v>1120000</v>
      </c>
      <c r="I84" s="282">
        <f t="shared" si="42"/>
        <v>34.039464285714288</v>
      </c>
      <c r="J84" s="281"/>
    </row>
    <row r="85" spans="2:10" x14ac:dyDescent="0.55000000000000004">
      <c r="B85" s="309"/>
      <c r="C85" s="162" t="s">
        <v>223</v>
      </c>
      <c r="D85" s="286">
        <v>315342</v>
      </c>
      <c r="E85" s="286">
        <f>40000*31</f>
        <v>1240000</v>
      </c>
      <c r="F85" s="281">
        <f>D85/E85*100</f>
        <v>25.430806451612902</v>
      </c>
      <c r="G85" s="282"/>
      <c r="H85" s="286">
        <f>40000*31</f>
        <v>1240000</v>
      </c>
      <c r="I85" s="282">
        <f t="shared" si="42"/>
        <v>25.430806451612902</v>
      </c>
      <c r="J85" s="281"/>
    </row>
    <row r="86" spans="2:10" x14ac:dyDescent="0.55000000000000004">
      <c r="B86" s="309"/>
      <c r="C86" s="162" t="s">
        <v>224</v>
      </c>
      <c r="D86" s="287">
        <v>449979</v>
      </c>
      <c r="E86" s="287">
        <f>40000*30</f>
        <v>1200000</v>
      </c>
      <c r="F86" s="281">
        <f t="shared" si="43"/>
        <v>37.498249999999999</v>
      </c>
      <c r="G86" s="283">
        <v>1000</v>
      </c>
      <c r="H86" s="287">
        <f>40000*30</f>
        <v>1200000</v>
      </c>
      <c r="I86" s="282">
        <f t="shared" si="42"/>
        <v>37.498249999999999</v>
      </c>
      <c r="J86" s="281"/>
    </row>
    <row r="87" spans="2:10" x14ac:dyDescent="0.55000000000000004">
      <c r="B87" s="87" t="s">
        <v>232</v>
      </c>
      <c r="D87" s="278">
        <f>SUM(D83:D86)</f>
        <v>1539887</v>
      </c>
      <c r="E87" s="278">
        <f t="shared" ref="E87" si="44">SUM(E83:E86)</f>
        <v>4800000</v>
      </c>
      <c r="F87" s="290">
        <f>SUM(F84:F86)</f>
        <v>96.968520737327196</v>
      </c>
      <c r="G87" s="278">
        <f t="shared" ref="G87" si="45">SUM(G83:G86)</f>
        <v>1000</v>
      </c>
      <c r="H87" s="283"/>
      <c r="I87" s="283"/>
      <c r="J87" s="280">
        <f t="shared" ref="J87" si="46">SUM(J83:J86)</f>
        <v>0</v>
      </c>
    </row>
    <row r="89" spans="2:10" x14ac:dyDescent="0.55000000000000004">
      <c r="B89" s="162"/>
      <c r="C89" s="162" t="s">
        <v>225</v>
      </c>
      <c r="D89" s="280" t="s">
        <v>229</v>
      </c>
      <c r="E89" s="162" t="s">
        <v>230</v>
      </c>
      <c r="F89" s="162" t="s">
        <v>228</v>
      </c>
      <c r="G89" s="280" t="s">
        <v>226</v>
      </c>
      <c r="H89" s="280" t="s">
        <v>205</v>
      </c>
      <c r="I89" s="280" t="s">
        <v>235</v>
      </c>
      <c r="J89" s="281" t="s">
        <v>227</v>
      </c>
    </row>
    <row r="90" spans="2:10" x14ac:dyDescent="0.55000000000000004">
      <c r="B90" s="309" t="s">
        <v>13</v>
      </c>
      <c r="C90" s="162" t="s">
        <v>221</v>
      </c>
      <c r="D90" s="286">
        <v>257562</v>
      </c>
      <c r="E90" s="288">
        <f>44000*31</f>
        <v>1364000</v>
      </c>
      <c r="F90" s="281">
        <f>D90/E90*100</f>
        <v>18.882844574780059</v>
      </c>
      <c r="G90" s="282"/>
      <c r="H90" s="288">
        <f>44000*31</f>
        <v>1364000</v>
      </c>
      <c r="I90" s="282">
        <f t="shared" ref="I90:I93" si="47">D90/H90*100</f>
        <v>18.882844574780059</v>
      </c>
      <c r="J90" s="281"/>
    </row>
    <row r="91" spans="2:10" x14ac:dyDescent="0.55000000000000004">
      <c r="B91" s="309"/>
      <c r="C91" s="162" t="s">
        <v>222</v>
      </c>
      <c r="D91" s="286">
        <v>342621</v>
      </c>
      <c r="E91" s="286">
        <f>44000*28</f>
        <v>1232000</v>
      </c>
      <c r="F91" s="281">
        <f t="shared" ref="F91:F93" si="48">D91/E91*100</f>
        <v>27.810146103896106</v>
      </c>
      <c r="G91" s="282"/>
      <c r="H91" s="286">
        <f>44000*28</f>
        <v>1232000</v>
      </c>
      <c r="I91" s="282">
        <f t="shared" si="47"/>
        <v>27.810146103896106</v>
      </c>
      <c r="J91" s="281"/>
    </row>
    <row r="92" spans="2:10" x14ac:dyDescent="0.55000000000000004">
      <c r="B92" s="309"/>
      <c r="C92" s="162" t="s">
        <v>223</v>
      </c>
      <c r="D92" s="286">
        <v>347400</v>
      </c>
      <c r="E92" s="286">
        <f>44000*31</f>
        <v>1364000</v>
      </c>
      <c r="F92" s="281">
        <f>D92/E92*100</f>
        <v>25.469208211143695</v>
      </c>
      <c r="G92" s="282"/>
      <c r="H92" s="286">
        <f>44000*31</f>
        <v>1364000</v>
      </c>
      <c r="I92" s="282">
        <f t="shared" si="47"/>
        <v>25.469208211143695</v>
      </c>
      <c r="J92" s="281"/>
    </row>
    <row r="93" spans="2:10" x14ac:dyDescent="0.55000000000000004">
      <c r="B93" s="309"/>
      <c r="C93" s="162" t="s">
        <v>224</v>
      </c>
      <c r="D93" s="287">
        <v>424394</v>
      </c>
      <c r="E93" s="287">
        <f>44000*30</f>
        <v>1320000</v>
      </c>
      <c r="F93" s="281">
        <f t="shared" si="48"/>
        <v>32.151060606060604</v>
      </c>
      <c r="G93" s="283">
        <v>1000</v>
      </c>
      <c r="H93" s="287">
        <f>44000*30</f>
        <v>1320000</v>
      </c>
      <c r="I93" s="282">
        <f t="shared" si="47"/>
        <v>32.151060606060604</v>
      </c>
      <c r="J93" s="281"/>
    </row>
    <row r="94" spans="2:10" x14ac:dyDescent="0.55000000000000004">
      <c r="B94" s="87" t="s">
        <v>232</v>
      </c>
      <c r="D94" s="278">
        <f>SUM(D90:D93)</f>
        <v>1371977</v>
      </c>
      <c r="E94" s="278">
        <f t="shared" ref="E94" si="49">SUM(E90:E93)</f>
        <v>5280000</v>
      </c>
      <c r="F94" s="290">
        <f>SUM(F91:F93)</f>
        <v>85.430414921100407</v>
      </c>
      <c r="G94" s="278">
        <f t="shared" ref="G94" si="50">SUM(G90:G93)</f>
        <v>1000</v>
      </c>
      <c r="H94" s="283"/>
      <c r="I94" s="283"/>
      <c r="J94" s="280">
        <f t="shared" ref="J94" si="51">SUM(J90:J93)</f>
        <v>0</v>
      </c>
    </row>
    <row r="99" spans="2:5" x14ac:dyDescent="0.55000000000000004">
      <c r="B99" s="304" t="s">
        <v>36</v>
      </c>
      <c r="C99" s="304"/>
      <c r="D99" s="306" t="s">
        <v>187</v>
      </c>
      <c r="E99" s="308"/>
    </row>
    <row r="100" spans="2:5" ht="14.7" thickBot="1" x14ac:dyDescent="0.6">
      <c r="B100" s="305"/>
      <c r="C100" s="305"/>
      <c r="D100" s="254">
        <v>0.05</v>
      </c>
      <c r="E100" s="255">
        <v>0.1</v>
      </c>
    </row>
    <row r="101" spans="2:5" x14ac:dyDescent="0.55000000000000004">
      <c r="B101" s="256" t="s">
        <v>10</v>
      </c>
      <c r="C101" s="257"/>
      <c r="D101" s="260">
        <v>31062.395468932202</v>
      </c>
      <c r="E101" s="261">
        <v>39690.838654746702</v>
      </c>
    </row>
    <row r="102" spans="2:5" x14ac:dyDescent="0.55000000000000004">
      <c r="B102" s="263" t="s">
        <v>37</v>
      </c>
      <c r="C102" s="264"/>
      <c r="D102" s="260">
        <v>58670.21156088623</v>
      </c>
      <c r="E102" s="261">
        <v>74967.492550021285</v>
      </c>
    </row>
    <row r="103" spans="2:5" x14ac:dyDescent="0.55000000000000004">
      <c r="B103" s="263" t="s">
        <v>11</v>
      </c>
      <c r="C103" s="264"/>
      <c r="D103" s="260">
        <v>46218.917208062638</v>
      </c>
      <c r="E103" s="261">
        <v>59057.505321413373</v>
      </c>
    </row>
    <row r="104" spans="2:5" x14ac:dyDescent="0.55000000000000004">
      <c r="B104" s="263" t="s">
        <v>12</v>
      </c>
      <c r="C104" s="264"/>
      <c r="D104" s="260">
        <v>43908.91720806263</v>
      </c>
      <c r="E104" s="261">
        <v>56105.838654746694</v>
      </c>
    </row>
    <row r="105" spans="2:5" x14ac:dyDescent="0.55000000000000004">
      <c r="B105" s="263" t="s">
        <v>13</v>
      </c>
      <c r="C105" s="264"/>
      <c r="D105" s="260">
        <v>46659.351990671334</v>
      </c>
      <c r="E105" s="261">
        <v>59620.283099191147</v>
      </c>
    </row>
    <row r="106" spans="2:5" x14ac:dyDescent="0.55000000000000004">
      <c r="B106" s="263" t="s">
        <v>14</v>
      </c>
      <c r="C106" s="264"/>
      <c r="D106" s="260">
        <v>37233.120106613365</v>
      </c>
      <c r="E106" s="261">
        <v>47575.653469561519</v>
      </c>
    </row>
    <row r="107" spans="2:5" x14ac:dyDescent="0.55000000000000004">
      <c r="B107" s="294" t="s">
        <v>15</v>
      </c>
      <c r="C107" s="295"/>
      <c r="D107" s="260">
        <v>23749.893386640015</v>
      </c>
      <c r="E107" s="261">
        <v>30347.085994040015</v>
      </c>
    </row>
    <row r="108" spans="2:5" x14ac:dyDescent="0.55000000000000004">
      <c r="B108" s="294" t="s">
        <v>16</v>
      </c>
      <c r="C108" s="295"/>
      <c r="D108" s="260">
        <v>36018.917208062638</v>
      </c>
      <c r="E108" s="261">
        <v>46024.171988080045</v>
      </c>
    </row>
    <row r="109" spans="2:5" x14ac:dyDescent="0.55000000000000004">
      <c r="B109" s="294" t="s">
        <v>17</v>
      </c>
      <c r="C109" s="295"/>
      <c r="D109" s="260">
        <v>26752.642012327167</v>
      </c>
      <c r="E109" s="261">
        <v>34183.931460195825</v>
      </c>
    </row>
    <row r="110" spans="2:5" x14ac:dyDescent="0.55000000000000004">
      <c r="B110" s="294" t="s">
        <v>18</v>
      </c>
      <c r="C110" s="295"/>
      <c r="D110" s="260">
        <v>33145.728802265534</v>
      </c>
      <c r="E110" s="261">
        <v>42352.875691783745</v>
      </c>
    </row>
    <row r="111" spans="2:5" x14ac:dyDescent="0.55000000000000004">
      <c r="B111" s="294" t="s">
        <v>19</v>
      </c>
      <c r="C111" s="295"/>
      <c r="D111" s="260">
        <v>22303.806430118275</v>
      </c>
      <c r="E111" s="261">
        <v>28499.308216262238</v>
      </c>
    </row>
    <row r="112" spans="2:5" x14ac:dyDescent="0.55000000000000004">
      <c r="B112" s="296" t="s">
        <v>41</v>
      </c>
      <c r="C112" s="297"/>
      <c r="D112" s="260">
        <v>32270.12493753124</v>
      </c>
      <c r="E112" s="261">
        <v>41234.048531289918</v>
      </c>
    </row>
  </sheetData>
  <mergeCells count="20">
    <mergeCell ref="D32:E32"/>
    <mergeCell ref="A3:F3"/>
    <mergeCell ref="B26:B29"/>
    <mergeCell ref="B34:B37"/>
    <mergeCell ref="B41:B44"/>
    <mergeCell ref="D99:E99"/>
    <mergeCell ref="B83:B86"/>
    <mergeCell ref="B90:B93"/>
    <mergeCell ref="B99:C100"/>
    <mergeCell ref="B48:B51"/>
    <mergeCell ref="B55:B58"/>
    <mergeCell ref="B62:B65"/>
    <mergeCell ref="B69:B72"/>
    <mergeCell ref="B76:B79"/>
    <mergeCell ref="B112:C112"/>
    <mergeCell ref="B107:C107"/>
    <mergeCell ref="B108:C108"/>
    <mergeCell ref="B109:C109"/>
    <mergeCell ref="B110:C110"/>
    <mergeCell ref="B111:C11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4AC7-3B39-4B3F-9BAB-D36153FE21F2}">
  <sheetPr>
    <pageSetUpPr fitToPage="1"/>
  </sheetPr>
  <dimension ref="A1:R100"/>
  <sheetViews>
    <sheetView showGridLines="0" zoomScaleNormal="100" workbookViewId="0">
      <pane ySplit="4" topLeftCell="A5" activePane="bottomLeft" state="frozen"/>
      <selection pane="bottomLeft" activeCell="G3" sqref="G3"/>
    </sheetView>
  </sheetViews>
  <sheetFormatPr defaultColWidth="9.15625" defaultRowHeight="14.4" x14ac:dyDescent="0.55000000000000004"/>
  <cols>
    <col min="1" max="1" width="2.83984375" style="7" customWidth="1"/>
    <col min="2" max="2" width="26.578125" style="7" customWidth="1"/>
    <col min="3" max="3" width="3.578125" style="7" customWidth="1"/>
    <col min="4" max="4" width="10.578125" style="7" customWidth="1"/>
    <col min="5" max="5" width="10.83984375" style="7" customWidth="1"/>
    <col min="6" max="6" width="11.26171875" style="7" customWidth="1"/>
    <col min="7" max="7" width="10.26171875" style="7" customWidth="1"/>
    <col min="8" max="8" width="10.41796875" style="7" customWidth="1"/>
    <col min="9" max="9" width="9.68359375" style="7" customWidth="1"/>
    <col min="10" max="10" width="11.15625" style="7" customWidth="1"/>
    <col min="11" max="11" width="10.15625" style="7" customWidth="1"/>
    <col min="12" max="12" width="10" style="7" customWidth="1"/>
    <col min="13" max="13" width="10.68359375" style="7" customWidth="1"/>
    <col min="14" max="15" width="10" style="7" customWidth="1"/>
    <col min="16" max="16" width="11" style="7" customWidth="1"/>
    <col min="17" max="18" width="9.15625" style="7"/>
    <col min="19" max="19" width="9.578125" style="7" bestFit="1" customWidth="1"/>
    <col min="20" max="20" width="11.41796875" style="7" customWidth="1"/>
    <col min="21" max="16384" width="9.15625" style="7"/>
  </cols>
  <sheetData>
    <row r="1" spans="2:16" ht="15.6" x14ac:dyDescent="0.55000000000000004">
      <c r="B1" s="6" t="s">
        <v>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2:16" ht="23.25" customHeight="1" x14ac:dyDescent="0.55000000000000004">
      <c r="B2" s="6" t="s">
        <v>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2:16" ht="15.6" x14ac:dyDescent="0.55000000000000004">
      <c r="B3" s="6" t="s">
        <v>38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2:16" ht="12" customHeight="1" x14ac:dyDescent="0.55000000000000004">
      <c r="B4" s="8"/>
      <c r="C4" s="8"/>
    </row>
    <row r="5" spans="2:16" ht="45" customHeight="1" thickBot="1" x14ac:dyDescent="0.6">
      <c r="B5" s="9" t="s">
        <v>5</v>
      </c>
      <c r="C5" s="10"/>
      <c r="D5" s="85" t="s">
        <v>10</v>
      </c>
      <c r="E5" s="85" t="s">
        <v>37</v>
      </c>
      <c r="F5" s="85" t="s">
        <v>11</v>
      </c>
      <c r="G5" s="85" t="s">
        <v>12</v>
      </c>
      <c r="H5" s="85" t="s">
        <v>13</v>
      </c>
      <c r="I5" s="85" t="s">
        <v>14</v>
      </c>
      <c r="J5" s="85" t="s">
        <v>15</v>
      </c>
      <c r="K5" s="85" t="s">
        <v>16</v>
      </c>
      <c r="L5" s="85" t="s">
        <v>17</v>
      </c>
      <c r="M5" s="85" t="s">
        <v>18</v>
      </c>
      <c r="N5" s="85" t="s">
        <v>19</v>
      </c>
      <c r="O5" s="85" t="s">
        <v>41</v>
      </c>
      <c r="P5" s="11"/>
    </row>
    <row r="6" spans="2:16" ht="45" customHeight="1" x14ac:dyDescent="0.55000000000000004">
      <c r="B6" s="84" t="s">
        <v>39</v>
      </c>
      <c r="C6" s="83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11"/>
    </row>
    <row r="7" spans="2:16" ht="45" customHeight="1" x14ac:dyDescent="0.55000000000000004">
      <c r="B7" s="82" t="s">
        <v>40</v>
      </c>
      <c r="C7" s="83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11"/>
    </row>
    <row r="8" spans="2:16" ht="19.5" customHeight="1" thickBot="1" x14ac:dyDescent="0.6">
      <c r="B8" s="80"/>
      <c r="C8" s="12"/>
      <c r="D8" s="81"/>
      <c r="E8" s="81"/>
      <c r="F8" s="81"/>
      <c r="G8" s="81"/>
      <c r="H8" s="81"/>
      <c r="I8" s="81"/>
      <c r="J8" s="86"/>
      <c r="K8" s="86"/>
      <c r="L8" s="86"/>
      <c r="M8" s="86"/>
      <c r="N8" s="86"/>
      <c r="O8" s="86"/>
      <c r="P8" s="11"/>
    </row>
    <row r="9" spans="2:16" s="18" customFormat="1" ht="23.25" customHeight="1" thickBot="1" x14ac:dyDescent="0.6">
      <c r="B9" s="13" t="s">
        <v>20</v>
      </c>
      <c r="C9" s="14"/>
      <c r="D9" s="15">
        <f>D26/(28)*100</f>
        <v>765466.17405582929</v>
      </c>
      <c r="E9" s="16">
        <f t="shared" ref="E9:O9" si="0">E26/(28)*100</f>
        <v>1445801.6420361248</v>
      </c>
      <c r="F9" s="16">
        <f t="shared" si="0"/>
        <v>1138966.1740558292</v>
      </c>
      <c r="G9" s="16">
        <f t="shared" si="0"/>
        <v>1082041.1740558292</v>
      </c>
      <c r="H9" s="16">
        <f t="shared" si="0"/>
        <v>1149819.7454844008</v>
      </c>
      <c r="I9" s="16">
        <f t="shared" si="0"/>
        <v>917530.45977011498</v>
      </c>
      <c r="J9" s="16">
        <f t="shared" si="0"/>
        <v>585265.22988505755</v>
      </c>
      <c r="K9" s="16">
        <f t="shared" si="0"/>
        <v>887609.03119868634</v>
      </c>
      <c r="L9" s="16">
        <f t="shared" si="0"/>
        <v>659261.53530377673</v>
      </c>
      <c r="M9" s="16">
        <f t="shared" si="0"/>
        <v>816805.45977011498</v>
      </c>
      <c r="N9" s="16">
        <f t="shared" si="0"/>
        <v>549629.51559934323</v>
      </c>
      <c r="O9" s="16">
        <f t="shared" si="0"/>
        <v>795228.07881773403</v>
      </c>
      <c r="P9" s="17"/>
    </row>
    <row r="10" spans="2:16" ht="14.25" customHeight="1" thickBot="1" x14ac:dyDescent="0.6"/>
    <row r="11" spans="2:16" ht="19.5" customHeight="1" thickBot="1" x14ac:dyDescent="0.6">
      <c r="B11" s="19" t="s">
        <v>7</v>
      </c>
      <c r="D11" s="20">
        <f>D9*D13</f>
        <v>214330.52873563222</v>
      </c>
      <c r="E11" s="20">
        <f t="shared" ref="E11:O11" si="1">E9*E13</f>
        <v>404824.45977011498</v>
      </c>
      <c r="F11" s="20">
        <f t="shared" si="1"/>
        <v>318910.52873563219</v>
      </c>
      <c r="G11" s="20">
        <f t="shared" si="1"/>
        <v>302971.52873563219</v>
      </c>
      <c r="H11" s="20">
        <f t="shared" si="1"/>
        <v>321949.52873563225</v>
      </c>
      <c r="I11" s="20">
        <f t="shared" si="1"/>
        <v>256908.52873563222</v>
      </c>
      <c r="J11" s="20">
        <f t="shared" si="1"/>
        <v>163874.26436781613</v>
      </c>
      <c r="K11" s="20">
        <f t="shared" si="1"/>
        <v>248530.52873563219</v>
      </c>
      <c r="L11" s="20">
        <f t="shared" si="1"/>
        <v>184593.22988505752</v>
      </c>
      <c r="M11" s="20">
        <f t="shared" si="1"/>
        <v>228705.52873563222</v>
      </c>
      <c r="N11" s="20">
        <f t="shared" si="1"/>
        <v>153896.26436781613</v>
      </c>
      <c r="O11" s="20">
        <f t="shared" si="1"/>
        <v>222663.86206896554</v>
      </c>
      <c r="P11" s="5"/>
    </row>
    <row r="12" spans="2:16" ht="19.5" customHeight="1" thickBot="1" x14ac:dyDescent="0.6">
      <c r="B12" s="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2:16" ht="19.5" customHeight="1" thickBot="1" x14ac:dyDescent="0.6">
      <c r="B13" s="19" t="s">
        <v>21</v>
      </c>
      <c r="D13" s="21">
        <v>0.28000000000000003</v>
      </c>
      <c r="E13" s="21">
        <v>0.28000000000000003</v>
      </c>
      <c r="F13" s="21">
        <v>0.28000000000000003</v>
      </c>
      <c r="G13" s="21">
        <v>0.28000000000000003</v>
      </c>
      <c r="H13" s="21">
        <v>0.28000000000000003</v>
      </c>
      <c r="I13" s="21">
        <v>0.28000000000000003</v>
      </c>
      <c r="J13" s="21">
        <v>0.28000000000000003</v>
      </c>
      <c r="K13" s="21">
        <v>0.28000000000000003</v>
      </c>
      <c r="L13" s="21">
        <v>0.28000000000000003</v>
      </c>
      <c r="M13" s="21">
        <v>0.28000000000000003</v>
      </c>
      <c r="N13" s="21">
        <v>0.28000000000000003</v>
      </c>
      <c r="O13" s="21">
        <v>0.28000000000000003</v>
      </c>
      <c r="P13" s="5"/>
    </row>
    <row r="14" spans="2:16" ht="14.25" customHeight="1" x14ac:dyDescent="0.55000000000000004"/>
    <row r="15" spans="2:16" ht="21" customHeight="1" x14ac:dyDescent="0.55000000000000004">
      <c r="B15" s="22" t="s">
        <v>22</v>
      </c>
      <c r="C15" s="23"/>
    </row>
    <row r="16" spans="2:16" ht="19.5" customHeight="1" x14ac:dyDescent="0.55000000000000004">
      <c r="B16" s="24" t="s">
        <v>1</v>
      </c>
      <c r="C16" s="25"/>
      <c r="D16" s="26">
        <v>40000</v>
      </c>
      <c r="E16" s="27">
        <v>138600</v>
      </c>
      <c r="F16" s="27">
        <v>105264</v>
      </c>
      <c r="G16" s="27">
        <v>75000</v>
      </c>
      <c r="H16" s="27">
        <v>115000</v>
      </c>
      <c r="I16" s="28">
        <v>65000</v>
      </c>
      <c r="J16" s="27">
        <v>35000</v>
      </c>
      <c r="K16" s="27">
        <v>60000</v>
      </c>
      <c r="L16" s="27">
        <v>45000</v>
      </c>
      <c r="M16" s="27">
        <v>60000</v>
      </c>
      <c r="N16" s="29">
        <v>35000</v>
      </c>
      <c r="O16" s="29">
        <v>40000</v>
      </c>
      <c r="P16" s="30"/>
    </row>
    <row r="17" spans="1:18" ht="19.5" customHeight="1" x14ac:dyDescent="0.55000000000000004">
      <c r="B17" s="31" t="s">
        <v>23</v>
      </c>
      <c r="C17" s="25"/>
      <c r="D17" s="32">
        <v>0</v>
      </c>
      <c r="E17" s="33">
        <v>20000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4"/>
      <c r="O17" s="142">
        <v>0</v>
      </c>
      <c r="P17" s="30"/>
    </row>
    <row r="18" spans="1:18" ht="19.5" customHeight="1" x14ac:dyDescent="0.55000000000000004">
      <c r="B18" s="35" t="s">
        <v>2</v>
      </c>
      <c r="D18" s="32">
        <v>38000</v>
      </c>
      <c r="E18" s="33">
        <v>60000</v>
      </c>
      <c r="F18" s="33">
        <v>40000</v>
      </c>
      <c r="G18" s="33">
        <v>60000</v>
      </c>
      <c r="H18" s="33">
        <v>50000</v>
      </c>
      <c r="I18" s="33">
        <v>40000</v>
      </c>
      <c r="J18" s="33">
        <v>35000</v>
      </c>
      <c r="K18" s="33">
        <v>40000</v>
      </c>
      <c r="L18" s="33">
        <v>35000</v>
      </c>
      <c r="M18" s="33">
        <v>20000</v>
      </c>
      <c r="N18" s="34">
        <v>25000</v>
      </c>
      <c r="O18" s="142">
        <v>30000</v>
      </c>
      <c r="P18" s="30"/>
    </row>
    <row r="19" spans="1:18" ht="19.5" customHeight="1" x14ac:dyDescent="0.55000000000000004">
      <c r="B19" s="35" t="s">
        <v>24</v>
      </c>
      <c r="D19" s="32">
        <v>0</v>
      </c>
      <c r="E19" s="33">
        <v>0</v>
      </c>
      <c r="F19" s="33">
        <v>3000</v>
      </c>
      <c r="G19" s="33">
        <v>0</v>
      </c>
      <c r="H19" s="33">
        <v>0</v>
      </c>
      <c r="I19" s="33">
        <v>2000</v>
      </c>
      <c r="J19" s="33">
        <v>0</v>
      </c>
      <c r="K19" s="33">
        <v>3700</v>
      </c>
      <c r="L19" s="33">
        <v>1100</v>
      </c>
      <c r="M19" s="33">
        <v>2000</v>
      </c>
      <c r="N19" s="34">
        <v>0</v>
      </c>
      <c r="O19" s="142">
        <v>2000</v>
      </c>
      <c r="P19" s="30"/>
    </row>
    <row r="20" spans="1:18" ht="19.5" customHeight="1" x14ac:dyDescent="0.55000000000000004">
      <c r="B20" s="35" t="s">
        <v>25</v>
      </c>
      <c r="D20" s="32">
        <v>0</v>
      </c>
      <c r="E20" s="33">
        <v>0</v>
      </c>
      <c r="F20" s="33">
        <f>F16*0.1</f>
        <v>10526.400000000001</v>
      </c>
      <c r="G20" s="33">
        <v>0</v>
      </c>
      <c r="H20" s="33">
        <v>0</v>
      </c>
      <c r="I20" s="33">
        <v>0</v>
      </c>
      <c r="J20" s="33">
        <v>0</v>
      </c>
      <c r="K20" s="33">
        <v>3000</v>
      </c>
      <c r="L20" s="33">
        <v>0</v>
      </c>
      <c r="M20" s="33">
        <v>6000</v>
      </c>
      <c r="N20" s="34">
        <v>0</v>
      </c>
      <c r="O20" s="142">
        <v>0</v>
      </c>
      <c r="P20" s="30"/>
    </row>
    <row r="21" spans="1:18" ht="19.5" customHeight="1" x14ac:dyDescent="0.55000000000000004">
      <c r="B21" s="35" t="s">
        <v>6</v>
      </c>
      <c r="D21" s="32">
        <v>0</v>
      </c>
      <c r="E21" s="33">
        <v>9000</v>
      </c>
      <c r="F21" s="33">
        <f>F16*0.15</f>
        <v>15789.599999999999</v>
      </c>
      <c r="G21" s="33">
        <f>G16*0.15</f>
        <v>11250</v>
      </c>
      <c r="H21" s="33">
        <f>25000*0.15</f>
        <v>3750</v>
      </c>
      <c r="I21" s="33">
        <f>30000*0.15</f>
        <v>4500</v>
      </c>
      <c r="J21" s="33">
        <f>J16*0.15</f>
        <v>5250</v>
      </c>
      <c r="K21" s="33">
        <f>30000*0.15</f>
        <v>4500</v>
      </c>
      <c r="L21" s="33">
        <f>L16*0.15</f>
        <v>6750</v>
      </c>
      <c r="M21" s="33">
        <v>0</v>
      </c>
      <c r="N21" s="33">
        <f>N16*0.15</f>
        <v>5250</v>
      </c>
      <c r="O21" s="142">
        <f>O16*0.15</f>
        <v>6000</v>
      </c>
      <c r="P21" s="30"/>
    </row>
    <row r="22" spans="1:18" ht="19.5" customHeight="1" x14ac:dyDescent="0.55000000000000004">
      <c r="B22" s="31" t="s">
        <v>0</v>
      </c>
      <c r="C22" s="25"/>
      <c r="D22" s="36">
        <f>D40*D46+D41*D47</f>
        <v>131330.52873563219</v>
      </c>
      <c r="E22" s="36">
        <f>E40*D46+E41*D47</f>
        <v>169224.45977011495</v>
      </c>
      <c r="F22" s="36">
        <f>F40*D46+F41*D47</f>
        <v>131330.52873563219</v>
      </c>
      <c r="G22" s="36">
        <f>G40*D46+G41*D47</f>
        <v>131330.52873563219</v>
      </c>
      <c r="H22" s="36">
        <f>H40*D46+H41*D47</f>
        <v>131330.52873563219</v>
      </c>
      <c r="I22" s="36">
        <f>I40*D46+I41*D47</f>
        <v>131330.52873563219</v>
      </c>
      <c r="J22" s="36">
        <f>J40*D46+J41*D47+(5400+3600*2)</f>
        <v>78265.264367816097</v>
      </c>
      <c r="K22" s="36">
        <f>K40*D46+K41*D47</f>
        <v>131330.52873563219</v>
      </c>
      <c r="L22" s="36">
        <f>L40*D46+L41*D47</f>
        <v>84612.229885057473</v>
      </c>
      <c r="M22" s="36">
        <f>M40*D46+M41*D47</f>
        <v>131330.52873563219</v>
      </c>
      <c r="N22" s="36">
        <f>N40*D46+N41*D47+(5400+3600*2)</f>
        <v>78265.264367816097</v>
      </c>
      <c r="O22" s="143">
        <f>D46*2+D47*4</f>
        <v>131330.52873563219</v>
      </c>
      <c r="P22" s="30"/>
    </row>
    <row r="23" spans="1:18" ht="19.5" customHeight="1" x14ac:dyDescent="0.55000000000000004">
      <c r="B23" s="31" t="s">
        <v>3</v>
      </c>
      <c r="C23" s="25"/>
      <c r="D23" s="32">
        <v>5000</v>
      </c>
      <c r="E23" s="33">
        <v>8000</v>
      </c>
      <c r="F23" s="33">
        <v>6000</v>
      </c>
      <c r="G23" s="33">
        <v>8000</v>
      </c>
      <c r="H23" s="33">
        <v>8000</v>
      </c>
      <c r="I23" s="33">
        <v>5000</v>
      </c>
      <c r="J23" s="33">
        <v>5000</v>
      </c>
      <c r="K23" s="33">
        <v>6000</v>
      </c>
      <c r="L23" s="33">
        <v>5000</v>
      </c>
      <c r="M23" s="33">
        <v>5000</v>
      </c>
      <c r="N23" s="34">
        <v>5000</v>
      </c>
      <c r="O23" s="142">
        <v>5000</v>
      </c>
      <c r="P23" s="30"/>
    </row>
    <row r="24" spans="1:18" ht="19.5" customHeight="1" x14ac:dyDescent="0.55000000000000004">
      <c r="B24" s="37" t="s">
        <v>4</v>
      </c>
      <c r="C24" s="25"/>
      <c r="D24" s="32"/>
      <c r="E24" s="33"/>
      <c r="F24" s="38">
        <v>7000</v>
      </c>
      <c r="G24" s="38">
        <v>17391</v>
      </c>
      <c r="H24" s="38">
        <v>13869</v>
      </c>
      <c r="I24" s="38">
        <v>9078</v>
      </c>
      <c r="J24" s="38">
        <v>5359</v>
      </c>
      <c r="K24" s="38">
        <v>0</v>
      </c>
      <c r="L24" s="38">
        <v>7131</v>
      </c>
      <c r="M24" s="38">
        <v>4375</v>
      </c>
      <c r="N24" s="39">
        <v>5381</v>
      </c>
      <c r="O24" s="144">
        <f>(1000000*0.1*3)/36</f>
        <v>8333.3333333333339</v>
      </c>
      <c r="P24" s="30"/>
    </row>
    <row r="25" spans="1:18" ht="19.5" customHeight="1" x14ac:dyDescent="0.55000000000000004">
      <c r="B25" s="40" t="s">
        <v>26</v>
      </c>
      <c r="D25" s="41">
        <v>0</v>
      </c>
      <c r="E25" s="38">
        <v>0</v>
      </c>
      <c r="F25" s="38"/>
      <c r="G25" s="38"/>
      <c r="H25" s="38"/>
      <c r="I25" s="38"/>
      <c r="J25" s="38"/>
      <c r="K25" s="38"/>
      <c r="L25" s="38"/>
      <c r="M25" s="38"/>
      <c r="N25" s="39"/>
      <c r="O25" s="144"/>
      <c r="P25" s="30"/>
    </row>
    <row r="26" spans="1:18" s="18" customFormat="1" ht="17.25" customHeight="1" thickBot="1" x14ac:dyDescent="0.6">
      <c r="B26" s="42" t="s">
        <v>27</v>
      </c>
      <c r="C26" s="2"/>
      <c r="D26" s="43">
        <f t="shared" ref="D26:N26" si="2">SUM(D16:D25)</f>
        <v>214330.52873563219</v>
      </c>
      <c r="E26" s="44">
        <f t="shared" si="2"/>
        <v>404824.45977011498</v>
      </c>
      <c r="F26" s="44">
        <f t="shared" si="2"/>
        <v>318910.52873563219</v>
      </c>
      <c r="G26" s="44">
        <f t="shared" si="2"/>
        <v>302971.52873563219</v>
      </c>
      <c r="H26" s="44">
        <f t="shared" si="2"/>
        <v>321949.52873563219</v>
      </c>
      <c r="I26" s="44">
        <f t="shared" si="2"/>
        <v>256908.52873563219</v>
      </c>
      <c r="J26" s="45">
        <f t="shared" si="2"/>
        <v>163874.2643678161</v>
      </c>
      <c r="K26" s="45">
        <f t="shared" si="2"/>
        <v>248530.52873563219</v>
      </c>
      <c r="L26" s="45">
        <f t="shared" si="2"/>
        <v>184593.22988505749</v>
      </c>
      <c r="M26" s="45">
        <f t="shared" si="2"/>
        <v>228705.52873563219</v>
      </c>
      <c r="N26" s="45">
        <f t="shared" si="2"/>
        <v>153896.2643678161</v>
      </c>
      <c r="O26" s="145">
        <f>SUM(O16:O24)</f>
        <v>222663.86206896554</v>
      </c>
      <c r="P26" s="46"/>
    </row>
    <row r="27" spans="1:18" ht="16.5" customHeight="1" thickBot="1" x14ac:dyDescent="0.6"/>
    <row r="28" spans="1:18" ht="18" customHeight="1" thickBot="1" x14ac:dyDescent="0.6">
      <c r="A28" s="47"/>
      <c r="B28" s="19" t="s">
        <v>28</v>
      </c>
      <c r="D28" s="48">
        <f t="shared" ref="D28:M28" si="3">D11-D26</f>
        <v>0</v>
      </c>
      <c r="E28" s="49">
        <f t="shared" si="3"/>
        <v>0</v>
      </c>
      <c r="F28" s="49">
        <f t="shared" si="3"/>
        <v>0</v>
      </c>
      <c r="G28" s="49">
        <f t="shared" si="3"/>
        <v>0</v>
      </c>
      <c r="H28" s="49">
        <f t="shared" si="3"/>
        <v>0</v>
      </c>
      <c r="I28" s="49">
        <f t="shared" si="3"/>
        <v>0</v>
      </c>
      <c r="J28" s="49">
        <f t="shared" si="3"/>
        <v>0</v>
      </c>
      <c r="K28" s="49">
        <f t="shared" si="3"/>
        <v>0</v>
      </c>
      <c r="L28" s="49">
        <f t="shared" si="3"/>
        <v>0</v>
      </c>
      <c r="M28" s="50">
        <f t="shared" si="3"/>
        <v>0</v>
      </c>
      <c r="N28" s="51"/>
      <c r="O28" s="51"/>
    </row>
    <row r="29" spans="1:18" x14ac:dyDescent="0.55000000000000004">
      <c r="A29" s="47"/>
      <c r="B29"/>
    </row>
    <row r="30" spans="1:18" x14ac:dyDescent="0.55000000000000004">
      <c r="A30" s="47"/>
      <c r="B30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18"/>
    </row>
    <row r="31" spans="1:18" ht="14.7" thickBot="1" x14ac:dyDescent="0.6">
      <c r="A31" s="47"/>
      <c r="B31"/>
    </row>
    <row r="32" spans="1:18" ht="20.25" customHeight="1" thickBot="1" x14ac:dyDescent="0.6">
      <c r="A32" s="47"/>
      <c r="B32" s="53" t="s">
        <v>29</v>
      </c>
      <c r="D32" s="54">
        <f t="shared" ref="D32:O32" si="4">D9/30</f>
        <v>25515.539135194311</v>
      </c>
      <c r="E32" s="55">
        <f t="shared" si="4"/>
        <v>48193.38806787083</v>
      </c>
      <c r="F32" s="55">
        <f t="shared" si="4"/>
        <v>37965.539135194304</v>
      </c>
      <c r="G32" s="55">
        <f t="shared" si="4"/>
        <v>36068.039135194304</v>
      </c>
      <c r="H32" s="55">
        <f t="shared" si="4"/>
        <v>38327.324849480028</v>
      </c>
      <c r="I32" s="55">
        <f t="shared" si="4"/>
        <v>30584.348659003834</v>
      </c>
      <c r="J32" s="56">
        <f t="shared" si="4"/>
        <v>19508.840996168587</v>
      </c>
      <c r="K32" s="56">
        <f t="shared" si="4"/>
        <v>29586.96770662288</v>
      </c>
      <c r="L32" s="56">
        <f t="shared" si="4"/>
        <v>21975.384510125892</v>
      </c>
      <c r="M32" s="56">
        <f t="shared" si="4"/>
        <v>27226.848659003834</v>
      </c>
      <c r="N32" s="56">
        <f t="shared" si="4"/>
        <v>18320.983853311442</v>
      </c>
      <c r="O32" s="56">
        <f t="shared" si="4"/>
        <v>26507.602627257802</v>
      </c>
      <c r="R32" s="57"/>
    </row>
    <row r="33" spans="1:18" x14ac:dyDescent="0.55000000000000004">
      <c r="A33" s="47"/>
      <c r="B33"/>
      <c r="R33" s="78"/>
    </row>
    <row r="34" spans="1:18" x14ac:dyDescent="0.55000000000000004">
      <c r="A34" s="47"/>
      <c r="B34" s="58" t="s">
        <v>30</v>
      </c>
      <c r="C34" s="59"/>
      <c r="D34" s="60">
        <v>31000</v>
      </c>
      <c r="E34" s="60">
        <v>61000</v>
      </c>
      <c r="F34" s="60">
        <v>33000</v>
      </c>
      <c r="G34" s="60">
        <v>40000</v>
      </c>
      <c r="H34" s="60">
        <v>44000</v>
      </c>
      <c r="I34" s="60">
        <v>27000</v>
      </c>
      <c r="J34" s="61">
        <v>0</v>
      </c>
      <c r="K34" s="61">
        <v>0</v>
      </c>
      <c r="L34" s="61">
        <v>0</v>
      </c>
      <c r="M34" s="60">
        <v>30000</v>
      </c>
      <c r="N34" s="61">
        <v>0</v>
      </c>
      <c r="O34" s="61"/>
    </row>
    <row r="35" spans="1:18" x14ac:dyDescent="0.55000000000000004">
      <c r="A35" s="47"/>
      <c r="B35"/>
      <c r="D35" s="62"/>
      <c r="J35" s="63"/>
    </row>
    <row r="36" spans="1:18" x14ac:dyDescent="0.55000000000000004">
      <c r="A36" s="47"/>
      <c r="B36" s="1" t="s">
        <v>31</v>
      </c>
      <c r="C36" s="64"/>
      <c r="D36" s="65">
        <v>35000</v>
      </c>
      <c r="E36" s="65">
        <v>62000</v>
      </c>
      <c r="F36" s="65">
        <v>49000</v>
      </c>
      <c r="G36" s="65">
        <v>42000</v>
      </c>
      <c r="H36" s="65">
        <v>45000</v>
      </c>
      <c r="I36" s="65">
        <v>31000</v>
      </c>
      <c r="J36" s="66">
        <v>23000</v>
      </c>
      <c r="K36" s="66">
        <v>38000</v>
      </c>
      <c r="L36" s="66">
        <v>29000</v>
      </c>
      <c r="M36" s="66">
        <v>33000</v>
      </c>
      <c r="N36" s="66">
        <v>21000</v>
      </c>
      <c r="O36" s="66">
        <v>24000</v>
      </c>
    </row>
    <row r="37" spans="1:18" x14ac:dyDescent="0.55000000000000004">
      <c r="A37" s="47"/>
      <c r="B37"/>
      <c r="D37" s="62"/>
      <c r="J37" s="63"/>
    </row>
    <row r="38" spans="1:18" x14ac:dyDescent="0.55000000000000004">
      <c r="A38" s="47"/>
      <c r="B38" t="s">
        <v>188</v>
      </c>
      <c r="D38" s="146">
        <v>2</v>
      </c>
      <c r="E38" s="146" t="s">
        <v>189</v>
      </c>
      <c r="F38" s="146" t="s">
        <v>189</v>
      </c>
      <c r="G38" s="146" t="s">
        <v>189</v>
      </c>
      <c r="H38" s="146" t="s">
        <v>189</v>
      </c>
      <c r="I38" s="146" t="s">
        <v>189</v>
      </c>
      <c r="J38" s="146" t="s">
        <v>190</v>
      </c>
      <c r="K38" s="146" t="s">
        <v>189</v>
      </c>
      <c r="L38" s="146" t="s">
        <v>189</v>
      </c>
      <c r="M38" s="146" t="s">
        <v>189</v>
      </c>
      <c r="N38" s="146" t="s">
        <v>190</v>
      </c>
      <c r="O38" s="146" t="s">
        <v>189</v>
      </c>
    </row>
    <row r="39" spans="1:18" x14ac:dyDescent="0.55000000000000004">
      <c r="A39" s="47"/>
      <c r="B39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</row>
    <row r="40" spans="1:18" x14ac:dyDescent="0.55000000000000004">
      <c r="B40" s="7" t="s">
        <v>32</v>
      </c>
      <c r="D40" s="67">
        <v>2</v>
      </c>
      <c r="E40" s="67">
        <v>2</v>
      </c>
      <c r="F40" s="67">
        <v>2</v>
      </c>
      <c r="G40" s="67">
        <v>2</v>
      </c>
      <c r="H40" s="67">
        <v>2</v>
      </c>
      <c r="I40" s="67">
        <v>2</v>
      </c>
      <c r="J40" s="67">
        <v>1</v>
      </c>
      <c r="K40" s="67">
        <v>2</v>
      </c>
      <c r="L40" s="67">
        <v>1</v>
      </c>
      <c r="M40" s="67">
        <v>2</v>
      </c>
      <c r="N40" s="67">
        <v>1</v>
      </c>
      <c r="O40" s="67">
        <v>2</v>
      </c>
    </row>
    <row r="41" spans="1:18" x14ac:dyDescent="0.55000000000000004">
      <c r="B41" s="7" t="s">
        <v>33</v>
      </c>
      <c r="D41" s="67">
        <v>4</v>
      </c>
      <c r="E41" s="67">
        <v>6</v>
      </c>
      <c r="F41" s="67">
        <v>4</v>
      </c>
      <c r="G41" s="67">
        <v>4</v>
      </c>
      <c r="H41" s="67">
        <v>4</v>
      </c>
      <c r="I41" s="67">
        <v>4</v>
      </c>
      <c r="J41" s="67">
        <v>2</v>
      </c>
      <c r="K41" s="67">
        <v>4</v>
      </c>
      <c r="L41" s="67">
        <v>3</v>
      </c>
      <c r="M41" s="67">
        <v>4</v>
      </c>
      <c r="N41" s="67">
        <v>2</v>
      </c>
      <c r="O41" s="67">
        <v>4</v>
      </c>
    </row>
    <row r="42" spans="1:18" x14ac:dyDescent="0.55000000000000004">
      <c r="D42" s="57"/>
      <c r="E42" s="57"/>
      <c r="F42" s="57"/>
      <c r="G42" s="57"/>
      <c r="H42" s="57"/>
      <c r="I42" s="57"/>
      <c r="J42" s="68"/>
      <c r="K42" s="57"/>
      <c r="L42" s="57"/>
      <c r="M42" s="57"/>
      <c r="N42" s="57"/>
      <c r="O42" s="57"/>
    </row>
    <row r="43" spans="1:18" x14ac:dyDescent="0.55000000000000004">
      <c r="D43" s="57"/>
      <c r="E43" s="57"/>
      <c r="F43" s="57"/>
      <c r="G43" s="57"/>
      <c r="H43" s="57"/>
      <c r="I43" s="57"/>
      <c r="J43" s="68"/>
      <c r="K43" s="57"/>
      <c r="L43" s="57"/>
      <c r="M43" s="57"/>
      <c r="N43" s="57"/>
      <c r="O43" s="57"/>
    </row>
    <row r="44" spans="1:18" x14ac:dyDescent="0.55000000000000004">
      <c r="D44" s="57"/>
      <c r="E44" s="57"/>
      <c r="F44" s="57"/>
      <c r="G44" s="57"/>
      <c r="H44" s="57"/>
      <c r="I44" s="57"/>
      <c r="J44" s="68"/>
      <c r="K44" s="57"/>
      <c r="L44" s="57"/>
      <c r="M44" s="57"/>
      <c r="N44" s="57"/>
      <c r="O44" s="57"/>
    </row>
    <row r="45" spans="1:18" x14ac:dyDescent="0.55000000000000004">
      <c r="B45" s="18" t="s">
        <v>34</v>
      </c>
      <c r="F45" s="57"/>
      <c r="G45" s="57"/>
      <c r="H45" s="57"/>
      <c r="I45" s="57"/>
      <c r="J45" s="68"/>
      <c r="K45" s="57"/>
      <c r="L45" s="57"/>
      <c r="M45" s="57"/>
      <c r="N45" s="57"/>
      <c r="O45" s="57"/>
    </row>
    <row r="46" spans="1:18" x14ac:dyDescent="0.55000000000000004">
      <c r="B46" s="7" t="s">
        <v>32</v>
      </c>
      <c r="D46" s="30">
        <v>27771.333333333332</v>
      </c>
      <c r="F46" s="57"/>
      <c r="G46" s="57"/>
      <c r="H46" s="57"/>
      <c r="I46" s="57"/>
      <c r="J46" s="68"/>
      <c r="K46" s="57"/>
      <c r="L46" s="57"/>
      <c r="M46" s="57"/>
      <c r="N46" s="57"/>
      <c r="O46" s="57"/>
    </row>
    <row r="47" spans="1:18" x14ac:dyDescent="0.55000000000000004">
      <c r="B47" s="7" t="s">
        <v>33</v>
      </c>
      <c r="D47" s="30">
        <v>18946.96551724138</v>
      </c>
      <c r="F47" s="57"/>
      <c r="G47" s="57"/>
      <c r="H47" s="57"/>
      <c r="I47" s="57"/>
      <c r="J47" s="68"/>
      <c r="K47" s="57"/>
      <c r="L47" s="57"/>
      <c r="M47" s="57"/>
      <c r="N47" s="57"/>
      <c r="O47" s="57"/>
    </row>
    <row r="49" spans="2:9" x14ac:dyDescent="0.55000000000000004">
      <c r="B49" s="18" t="s">
        <v>35</v>
      </c>
    </row>
    <row r="50" spans="2:9" x14ac:dyDescent="0.55000000000000004">
      <c r="B50" s="18"/>
    </row>
    <row r="51" spans="2:9" ht="29.25" customHeight="1" x14ac:dyDescent="0.55000000000000004">
      <c r="B51" s="322" t="s">
        <v>36</v>
      </c>
      <c r="C51" s="322"/>
      <c r="D51" s="322" t="s">
        <v>183</v>
      </c>
      <c r="E51" s="322"/>
      <c r="F51" s="298" t="s">
        <v>191</v>
      </c>
      <c r="G51" s="306" t="s">
        <v>187</v>
      </c>
      <c r="H51" s="308"/>
      <c r="I51" s="304" t="s">
        <v>186</v>
      </c>
    </row>
    <row r="52" spans="2:9" ht="28.5" customHeight="1" thickBot="1" x14ac:dyDescent="0.6">
      <c r="B52" s="323"/>
      <c r="C52" s="323"/>
      <c r="D52" s="4" t="s">
        <v>184</v>
      </c>
      <c r="E52" s="4" t="s">
        <v>185</v>
      </c>
      <c r="F52" s="299"/>
      <c r="G52" s="69">
        <v>0.05</v>
      </c>
      <c r="H52" s="70">
        <v>0.1</v>
      </c>
      <c r="I52" s="305"/>
    </row>
    <row r="53" spans="2:9" ht="20.25" customHeight="1" x14ac:dyDescent="0.55000000000000004">
      <c r="B53" s="71" t="s">
        <v>10</v>
      </c>
      <c r="C53" s="72"/>
      <c r="D53" s="73">
        <f>M70</f>
        <v>214330.52873563219</v>
      </c>
      <c r="E53" s="139">
        <f>D53/30</f>
        <v>7144.3509578544063</v>
      </c>
      <c r="F53" s="73">
        <f>E53/28*100</f>
        <v>25515.539135194307</v>
      </c>
      <c r="G53" s="74">
        <f>E53/23*100</f>
        <v>31062.395468932202</v>
      </c>
      <c r="H53" s="75">
        <f>E53/18*100</f>
        <v>39690.838654746702</v>
      </c>
      <c r="I53" s="140">
        <v>31000</v>
      </c>
    </row>
    <row r="54" spans="2:9" ht="20.25" customHeight="1" x14ac:dyDescent="0.55000000000000004">
      <c r="B54" s="76" t="s">
        <v>37</v>
      </c>
      <c r="C54" s="77"/>
      <c r="D54" s="73">
        <f t="shared" ref="D54:D64" si="5">M71</f>
        <v>404824.45977011498</v>
      </c>
      <c r="E54" s="139">
        <f t="shared" ref="E54:E64" si="6">D54/30</f>
        <v>13494.148659003833</v>
      </c>
      <c r="F54" s="73">
        <f t="shared" ref="F54:F64" si="7">E54/28*100</f>
        <v>48193.38806787083</v>
      </c>
      <c r="G54" s="74">
        <f t="shared" ref="G54:G64" si="8">E54/23*100</f>
        <v>58670.21156088623</v>
      </c>
      <c r="H54" s="75">
        <f t="shared" ref="H54:H64" si="9">E54/18*100</f>
        <v>74967.492550021285</v>
      </c>
      <c r="I54" s="141">
        <v>59000</v>
      </c>
    </row>
    <row r="55" spans="2:9" ht="20.25" customHeight="1" x14ac:dyDescent="0.55000000000000004">
      <c r="B55" s="76" t="s">
        <v>11</v>
      </c>
      <c r="C55" s="77"/>
      <c r="D55" s="73">
        <f t="shared" si="5"/>
        <v>318910.52873563219</v>
      </c>
      <c r="E55" s="139">
        <f t="shared" si="6"/>
        <v>10630.350957854407</v>
      </c>
      <c r="F55" s="73">
        <f t="shared" si="7"/>
        <v>37965.539135194311</v>
      </c>
      <c r="G55" s="74">
        <f t="shared" si="8"/>
        <v>46218.917208062638</v>
      </c>
      <c r="H55" s="75">
        <f t="shared" si="9"/>
        <v>59057.505321413373</v>
      </c>
      <c r="I55" s="141">
        <v>46000</v>
      </c>
    </row>
    <row r="56" spans="2:9" ht="20.25" customHeight="1" x14ac:dyDescent="0.55000000000000004">
      <c r="B56" s="76" t="s">
        <v>12</v>
      </c>
      <c r="C56" s="77"/>
      <c r="D56" s="73">
        <f t="shared" si="5"/>
        <v>302971.52873563219</v>
      </c>
      <c r="E56" s="139">
        <f t="shared" si="6"/>
        <v>10099.050957854406</v>
      </c>
      <c r="F56" s="73">
        <f t="shared" si="7"/>
        <v>36068.039135194304</v>
      </c>
      <c r="G56" s="74">
        <f t="shared" si="8"/>
        <v>43908.91720806263</v>
      </c>
      <c r="H56" s="75">
        <f t="shared" si="9"/>
        <v>56105.838654746694</v>
      </c>
      <c r="I56" s="141">
        <v>44000</v>
      </c>
    </row>
    <row r="57" spans="2:9" ht="20.25" customHeight="1" x14ac:dyDescent="0.55000000000000004">
      <c r="B57" s="76" t="s">
        <v>13</v>
      </c>
      <c r="C57" s="77"/>
      <c r="D57" s="73">
        <f t="shared" si="5"/>
        <v>321949.52873563219</v>
      </c>
      <c r="E57" s="139">
        <f t="shared" si="6"/>
        <v>10731.650957854406</v>
      </c>
      <c r="F57" s="73">
        <f t="shared" si="7"/>
        <v>38327.324849480021</v>
      </c>
      <c r="G57" s="74">
        <f t="shared" si="8"/>
        <v>46659.351990671334</v>
      </c>
      <c r="H57" s="75">
        <f t="shared" si="9"/>
        <v>59620.283099191147</v>
      </c>
      <c r="I57" s="141">
        <v>47000</v>
      </c>
    </row>
    <row r="58" spans="2:9" ht="20.25" customHeight="1" x14ac:dyDescent="0.55000000000000004">
      <c r="B58" s="76" t="s">
        <v>14</v>
      </c>
      <c r="C58" s="77"/>
      <c r="D58" s="73">
        <f t="shared" si="5"/>
        <v>256908.52873563219</v>
      </c>
      <c r="E58" s="139">
        <f t="shared" si="6"/>
        <v>8563.6176245210736</v>
      </c>
      <c r="F58" s="73">
        <f t="shared" si="7"/>
        <v>30584.348659003837</v>
      </c>
      <c r="G58" s="74">
        <f t="shared" si="8"/>
        <v>37233.120106613365</v>
      </c>
      <c r="H58" s="75">
        <f t="shared" si="9"/>
        <v>47575.653469561519</v>
      </c>
      <c r="I58" s="141">
        <v>37000</v>
      </c>
    </row>
    <row r="59" spans="2:9" ht="20.25" customHeight="1" x14ac:dyDescent="0.55000000000000004">
      <c r="B59" s="312" t="s">
        <v>15</v>
      </c>
      <c r="C59" s="313"/>
      <c r="D59" s="73">
        <f t="shared" si="5"/>
        <v>163874.2643678161</v>
      </c>
      <c r="E59" s="139">
        <f t="shared" si="6"/>
        <v>5462.4754789272029</v>
      </c>
      <c r="F59" s="73">
        <f t="shared" si="7"/>
        <v>19508.840996168583</v>
      </c>
      <c r="G59" s="74">
        <f t="shared" si="8"/>
        <v>23749.893386640015</v>
      </c>
      <c r="H59" s="75">
        <f t="shared" si="9"/>
        <v>30347.085994040015</v>
      </c>
      <c r="I59" s="141">
        <v>24000</v>
      </c>
    </row>
    <row r="60" spans="2:9" ht="20.25" customHeight="1" x14ac:dyDescent="0.55000000000000004">
      <c r="B60" s="312" t="s">
        <v>16</v>
      </c>
      <c r="C60" s="313"/>
      <c r="D60" s="73">
        <f t="shared" si="5"/>
        <v>248530.52873563219</v>
      </c>
      <c r="E60" s="139">
        <f t="shared" si="6"/>
        <v>8284.3509578544072</v>
      </c>
      <c r="F60" s="73">
        <f t="shared" si="7"/>
        <v>29586.96770662288</v>
      </c>
      <c r="G60" s="74">
        <f t="shared" si="8"/>
        <v>36018.917208062638</v>
      </c>
      <c r="H60" s="75">
        <f t="shared" si="9"/>
        <v>46024.171988080045</v>
      </c>
      <c r="I60" s="141">
        <v>36000</v>
      </c>
    </row>
    <row r="61" spans="2:9" ht="20.25" customHeight="1" x14ac:dyDescent="0.55000000000000004">
      <c r="B61" s="312" t="s">
        <v>17</v>
      </c>
      <c r="C61" s="313"/>
      <c r="D61" s="73">
        <f t="shared" si="5"/>
        <v>184593.22988505749</v>
      </c>
      <c r="E61" s="139">
        <f t="shared" si="6"/>
        <v>6153.1076628352494</v>
      </c>
      <c r="F61" s="73">
        <f t="shared" si="7"/>
        <v>21975.384510125892</v>
      </c>
      <c r="G61" s="74">
        <f t="shared" si="8"/>
        <v>26752.642012327167</v>
      </c>
      <c r="H61" s="75">
        <f t="shared" si="9"/>
        <v>34183.931460195825</v>
      </c>
      <c r="I61" s="141">
        <v>27000</v>
      </c>
    </row>
    <row r="62" spans="2:9" ht="20.25" customHeight="1" x14ac:dyDescent="0.55000000000000004">
      <c r="B62" s="312" t="s">
        <v>18</v>
      </c>
      <c r="C62" s="313"/>
      <c r="D62" s="73">
        <f t="shared" si="5"/>
        <v>228705.52873563219</v>
      </c>
      <c r="E62" s="139">
        <f t="shared" si="6"/>
        <v>7623.5176245210732</v>
      </c>
      <c r="F62" s="73">
        <f t="shared" si="7"/>
        <v>27226.848659003834</v>
      </c>
      <c r="G62" s="74">
        <f t="shared" si="8"/>
        <v>33145.728802265534</v>
      </c>
      <c r="H62" s="75">
        <f t="shared" si="9"/>
        <v>42352.875691783745</v>
      </c>
      <c r="I62" s="141">
        <v>33000</v>
      </c>
    </row>
    <row r="63" spans="2:9" ht="20.25" customHeight="1" x14ac:dyDescent="0.55000000000000004">
      <c r="B63" s="312" t="s">
        <v>19</v>
      </c>
      <c r="C63" s="313"/>
      <c r="D63" s="73">
        <f t="shared" si="5"/>
        <v>153896.2643678161</v>
      </c>
      <c r="E63" s="139">
        <f t="shared" si="6"/>
        <v>5129.8754789272034</v>
      </c>
      <c r="F63" s="73">
        <f t="shared" si="7"/>
        <v>18320.983853311442</v>
      </c>
      <c r="G63" s="74">
        <f t="shared" si="8"/>
        <v>22303.806430118275</v>
      </c>
      <c r="H63" s="75">
        <f t="shared" si="9"/>
        <v>28499.308216262238</v>
      </c>
      <c r="I63" s="141">
        <v>22000</v>
      </c>
    </row>
    <row r="64" spans="2:9" ht="19.5" customHeight="1" x14ac:dyDescent="0.55000000000000004">
      <c r="B64" s="314" t="s">
        <v>41</v>
      </c>
      <c r="C64" s="315"/>
      <c r="D64" s="73">
        <f t="shared" si="5"/>
        <v>222663.86206896554</v>
      </c>
      <c r="E64" s="139">
        <f t="shared" si="6"/>
        <v>7422.1287356321845</v>
      </c>
      <c r="F64" s="73">
        <f t="shared" si="7"/>
        <v>26507.602627257802</v>
      </c>
      <c r="G64" s="74">
        <f t="shared" si="8"/>
        <v>32270.12493753124</v>
      </c>
      <c r="H64" s="75">
        <f t="shared" si="9"/>
        <v>41234.048531289918</v>
      </c>
      <c r="I64" s="141">
        <v>32000</v>
      </c>
    </row>
    <row r="68" spans="2:13" x14ac:dyDescent="0.55000000000000004">
      <c r="B68" s="322" t="s">
        <v>36</v>
      </c>
      <c r="C68" s="322"/>
      <c r="D68" s="324" t="s">
        <v>195</v>
      </c>
      <c r="E68" s="325"/>
      <c r="F68" s="325"/>
      <c r="G68" s="325"/>
      <c r="H68" s="325"/>
      <c r="I68" s="325"/>
      <c r="J68" s="325"/>
      <c r="K68" s="325"/>
      <c r="L68" s="325"/>
      <c r="M68" s="326"/>
    </row>
    <row r="69" spans="2:13" ht="29.1" thickBot="1" x14ac:dyDescent="0.6">
      <c r="B69" s="323"/>
      <c r="C69" s="323"/>
      <c r="D69" s="3" t="s">
        <v>1</v>
      </c>
      <c r="E69" s="3" t="s">
        <v>23</v>
      </c>
      <c r="F69" s="3" t="s">
        <v>2</v>
      </c>
      <c r="G69" s="3" t="s">
        <v>192</v>
      </c>
      <c r="H69" s="3" t="s">
        <v>193</v>
      </c>
      <c r="I69" s="3" t="s">
        <v>6</v>
      </c>
      <c r="J69" s="3" t="s">
        <v>0</v>
      </c>
      <c r="K69" s="3" t="s">
        <v>3</v>
      </c>
      <c r="L69" s="3" t="s">
        <v>4</v>
      </c>
      <c r="M69" s="4" t="s">
        <v>194</v>
      </c>
    </row>
    <row r="70" spans="2:13" ht="18.75" customHeight="1" x14ac:dyDescent="0.55000000000000004">
      <c r="B70" s="71" t="s">
        <v>10</v>
      </c>
      <c r="C70" s="72"/>
      <c r="D70" s="147">
        <f>D16</f>
        <v>40000</v>
      </c>
      <c r="E70" s="140">
        <v>0</v>
      </c>
      <c r="F70" s="140">
        <f>D18</f>
        <v>38000</v>
      </c>
      <c r="G70" s="140">
        <v>0</v>
      </c>
      <c r="H70" s="140">
        <v>0</v>
      </c>
      <c r="I70" s="140">
        <v>0</v>
      </c>
      <c r="J70" s="140">
        <f>D22</f>
        <v>131330.52873563219</v>
      </c>
      <c r="K70" s="140">
        <f>D23</f>
        <v>5000</v>
      </c>
      <c r="L70" s="140">
        <v>0</v>
      </c>
      <c r="M70" s="140">
        <f>SUM(D70:L70)</f>
        <v>214330.52873563219</v>
      </c>
    </row>
    <row r="71" spans="2:13" ht="18.75" customHeight="1" x14ac:dyDescent="0.55000000000000004">
      <c r="B71" s="76" t="s">
        <v>37</v>
      </c>
      <c r="C71" s="77"/>
      <c r="D71" s="138">
        <f>E16</f>
        <v>138600</v>
      </c>
      <c r="E71" s="141">
        <v>20000</v>
      </c>
      <c r="F71" s="141">
        <f>E18</f>
        <v>60000</v>
      </c>
      <c r="G71" s="141">
        <v>0</v>
      </c>
      <c r="H71" s="141">
        <v>0</v>
      </c>
      <c r="I71" s="141">
        <f>E21</f>
        <v>9000</v>
      </c>
      <c r="J71" s="141">
        <f>E22</f>
        <v>169224.45977011495</v>
      </c>
      <c r="K71" s="141">
        <f>E23</f>
        <v>8000</v>
      </c>
      <c r="L71" s="141">
        <v>0</v>
      </c>
      <c r="M71" s="140">
        <f t="shared" ref="M71:M81" si="10">SUM(D71:L71)</f>
        <v>404824.45977011498</v>
      </c>
    </row>
    <row r="72" spans="2:13" ht="18.75" customHeight="1" x14ac:dyDescent="0.55000000000000004">
      <c r="B72" s="76" t="s">
        <v>11</v>
      </c>
      <c r="C72" s="77"/>
      <c r="D72" s="138">
        <f>F16</f>
        <v>105264</v>
      </c>
      <c r="E72" s="141">
        <v>0</v>
      </c>
      <c r="F72" s="141">
        <f>F18</f>
        <v>40000</v>
      </c>
      <c r="G72" s="141">
        <f>F19</f>
        <v>3000</v>
      </c>
      <c r="H72" s="141">
        <f>F20</f>
        <v>10526.400000000001</v>
      </c>
      <c r="I72" s="141">
        <f>F21</f>
        <v>15789.599999999999</v>
      </c>
      <c r="J72" s="141">
        <f>F22</f>
        <v>131330.52873563219</v>
      </c>
      <c r="K72" s="141">
        <f>F23</f>
        <v>6000</v>
      </c>
      <c r="L72" s="141">
        <f>F24</f>
        <v>7000</v>
      </c>
      <c r="M72" s="140">
        <f t="shared" si="10"/>
        <v>318910.52873563219</v>
      </c>
    </row>
    <row r="73" spans="2:13" ht="18.75" customHeight="1" x14ac:dyDescent="0.55000000000000004">
      <c r="B73" s="76" t="s">
        <v>12</v>
      </c>
      <c r="C73" s="77"/>
      <c r="D73" s="138">
        <f>G16</f>
        <v>75000</v>
      </c>
      <c r="E73" s="141">
        <v>0</v>
      </c>
      <c r="F73" s="141">
        <f>G18</f>
        <v>60000</v>
      </c>
      <c r="G73" s="141">
        <v>0</v>
      </c>
      <c r="H73" s="141">
        <v>0</v>
      </c>
      <c r="I73" s="141">
        <f>G21</f>
        <v>11250</v>
      </c>
      <c r="J73" s="141">
        <f>G22</f>
        <v>131330.52873563219</v>
      </c>
      <c r="K73" s="141">
        <f>G23</f>
        <v>8000</v>
      </c>
      <c r="L73" s="141">
        <f>G24</f>
        <v>17391</v>
      </c>
      <c r="M73" s="140">
        <f t="shared" si="10"/>
        <v>302971.52873563219</v>
      </c>
    </row>
    <row r="74" spans="2:13" ht="18.75" customHeight="1" x14ac:dyDescent="0.55000000000000004">
      <c r="B74" s="76" t="s">
        <v>13</v>
      </c>
      <c r="C74" s="77"/>
      <c r="D74" s="138">
        <f>H16</f>
        <v>115000</v>
      </c>
      <c r="E74" s="141">
        <v>0</v>
      </c>
      <c r="F74" s="141">
        <f>H18</f>
        <v>50000</v>
      </c>
      <c r="G74" s="141">
        <v>0</v>
      </c>
      <c r="H74" s="141">
        <v>0</v>
      </c>
      <c r="I74" s="141">
        <f>H21</f>
        <v>3750</v>
      </c>
      <c r="J74" s="141">
        <f>H22</f>
        <v>131330.52873563219</v>
      </c>
      <c r="K74" s="141">
        <f>H23</f>
        <v>8000</v>
      </c>
      <c r="L74" s="141">
        <f>H24</f>
        <v>13869</v>
      </c>
      <c r="M74" s="140">
        <f t="shared" si="10"/>
        <v>321949.52873563219</v>
      </c>
    </row>
    <row r="75" spans="2:13" ht="18.75" customHeight="1" x14ac:dyDescent="0.55000000000000004">
      <c r="B75" s="76" t="s">
        <v>14</v>
      </c>
      <c r="C75" s="77"/>
      <c r="D75" s="138">
        <f>I16</f>
        <v>65000</v>
      </c>
      <c r="E75" s="141">
        <v>0</v>
      </c>
      <c r="F75" s="141">
        <f>I18</f>
        <v>40000</v>
      </c>
      <c r="G75" s="141">
        <f>I19</f>
        <v>2000</v>
      </c>
      <c r="H75" s="141">
        <v>0</v>
      </c>
      <c r="I75" s="141">
        <f>I21</f>
        <v>4500</v>
      </c>
      <c r="J75" s="141">
        <f>I22</f>
        <v>131330.52873563219</v>
      </c>
      <c r="K75" s="141">
        <f>I23</f>
        <v>5000</v>
      </c>
      <c r="L75" s="141">
        <f>I24</f>
        <v>9078</v>
      </c>
      <c r="M75" s="140">
        <f t="shared" si="10"/>
        <v>256908.52873563219</v>
      </c>
    </row>
    <row r="76" spans="2:13" ht="18.75" customHeight="1" x14ac:dyDescent="0.55000000000000004">
      <c r="B76" s="312" t="s">
        <v>15</v>
      </c>
      <c r="C76" s="313"/>
      <c r="D76" s="138">
        <f>J16</f>
        <v>35000</v>
      </c>
      <c r="E76" s="141">
        <v>0</v>
      </c>
      <c r="F76" s="141">
        <f>J18</f>
        <v>35000</v>
      </c>
      <c r="G76" s="141">
        <v>0</v>
      </c>
      <c r="H76" s="141">
        <v>0</v>
      </c>
      <c r="I76" s="141">
        <f>J21</f>
        <v>5250</v>
      </c>
      <c r="J76" s="141">
        <f>J22</f>
        <v>78265.264367816097</v>
      </c>
      <c r="K76" s="141">
        <f>J23</f>
        <v>5000</v>
      </c>
      <c r="L76" s="141">
        <f>J24</f>
        <v>5359</v>
      </c>
      <c r="M76" s="140">
        <f t="shared" si="10"/>
        <v>163874.2643678161</v>
      </c>
    </row>
    <row r="77" spans="2:13" ht="18.75" customHeight="1" x14ac:dyDescent="0.55000000000000004">
      <c r="B77" s="312" t="s">
        <v>16</v>
      </c>
      <c r="C77" s="313"/>
      <c r="D77" s="138">
        <f>K16</f>
        <v>60000</v>
      </c>
      <c r="E77" s="141">
        <v>0</v>
      </c>
      <c r="F77" s="141">
        <f>K18</f>
        <v>40000</v>
      </c>
      <c r="G77" s="141">
        <f>K19</f>
        <v>3700</v>
      </c>
      <c r="H77" s="141">
        <f>K20</f>
        <v>3000</v>
      </c>
      <c r="I77" s="141">
        <f>K21</f>
        <v>4500</v>
      </c>
      <c r="J77" s="141">
        <f>K22</f>
        <v>131330.52873563219</v>
      </c>
      <c r="K77" s="141">
        <f>K23</f>
        <v>6000</v>
      </c>
      <c r="L77" s="141">
        <v>0</v>
      </c>
      <c r="M77" s="140">
        <f t="shared" si="10"/>
        <v>248530.52873563219</v>
      </c>
    </row>
    <row r="78" spans="2:13" ht="18.75" customHeight="1" x14ac:dyDescent="0.55000000000000004">
      <c r="B78" s="312" t="s">
        <v>17</v>
      </c>
      <c r="C78" s="313"/>
      <c r="D78" s="138">
        <f>L16</f>
        <v>45000</v>
      </c>
      <c r="E78" s="141">
        <v>0</v>
      </c>
      <c r="F78" s="141">
        <f>L18</f>
        <v>35000</v>
      </c>
      <c r="G78" s="141">
        <f>L19</f>
        <v>1100</v>
      </c>
      <c r="H78" s="141">
        <v>0</v>
      </c>
      <c r="I78" s="141">
        <f>L21</f>
        <v>6750</v>
      </c>
      <c r="J78" s="141">
        <f>L22</f>
        <v>84612.229885057473</v>
      </c>
      <c r="K78" s="141">
        <f>L23</f>
        <v>5000</v>
      </c>
      <c r="L78" s="141">
        <f>L24</f>
        <v>7131</v>
      </c>
      <c r="M78" s="140">
        <f t="shared" si="10"/>
        <v>184593.22988505749</v>
      </c>
    </row>
    <row r="79" spans="2:13" ht="18.75" customHeight="1" x14ac:dyDescent="0.55000000000000004">
      <c r="B79" s="312" t="s">
        <v>18</v>
      </c>
      <c r="C79" s="313"/>
      <c r="D79" s="138">
        <f>M16</f>
        <v>60000</v>
      </c>
      <c r="E79" s="141">
        <v>0</v>
      </c>
      <c r="F79" s="141">
        <f>M18</f>
        <v>20000</v>
      </c>
      <c r="G79" s="141">
        <f>M19</f>
        <v>2000</v>
      </c>
      <c r="H79" s="141">
        <f>M20</f>
        <v>6000</v>
      </c>
      <c r="I79" s="141">
        <v>0</v>
      </c>
      <c r="J79" s="141">
        <f>M22</f>
        <v>131330.52873563219</v>
      </c>
      <c r="K79" s="141">
        <f>M23</f>
        <v>5000</v>
      </c>
      <c r="L79" s="141">
        <f>M24</f>
        <v>4375</v>
      </c>
      <c r="M79" s="140">
        <f t="shared" si="10"/>
        <v>228705.52873563219</v>
      </c>
    </row>
    <row r="80" spans="2:13" ht="18.75" customHeight="1" x14ac:dyDescent="0.55000000000000004">
      <c r="B80" s="312" t="s">
        <v>19</v>
      </c>
      <c r="C80" s="313"/>
      <c r="D80" s="138">
        <f>N16</f>
        <v>35000</v>
      </c>
      <c r="E80" s="141">
        <v>0</v>
      </c>
      <c r="F80" s="141">
        <f>N18</f>
        <v>25000</v>
      </c>
      <c r="G80" s="141">
        <v>0</v>
      </c>
      <c r="H80" s="141">
        <v>0</v>
      </c>
      <c r="I80" s="141">
        <f>N21</f>
        <v>5250</v>
      </c>
      <c r="J80" s="141">
        <f>N22</f>
        <v>78265.264367816097</v>
      </c>
      <c r="K80" s="141">
        <f>N23</f>
        <v>5000</v>
      </c>
      <c r="L80" s="141">
        <f>N24</f>
        <v>5381</v>
      </c>
      <c r="M80" s="140">
        <f t="shared" si="10"/>
        <v>153896.2643678161</v>
      </c>
    </row>
    <row r="81" spans="2:13" ht="18.75" customHeight="1" x14ac:dyDescent="0.55000000000000004">
      <c r="B81" s="314" t="s">
        <v>41</v>
      </c>
      <c r="C81" s="315"/>
      <c r="D81" s="138">
        <f>O16</f>
        <v>40000</v>
      </c>
      <c r="E81" s="141">
        <v>0</v>
      </c>
      <c r="F81" s="141">
        <f>O18</f>
        <v>30000</v>
      </c>
      <c r="G81" s="141">
        <f>O19</f>
        <v>2000</v>
      </c>
      <c r="H81" s="141">
        <v>0</v>
      </c>
      <c r="I81" s="141">
        <f>O21</f>
        <v>6000</v>
      </c>
      <c r="J81" s="141">
        <f>O22</f>
        <v>131330.52873563219</v>
      </c>
      <c r="K81" s="141">
        <f>O23</f>
        <v>5000</v>
      </c>
      <c r="L81" s="141">
        <f>O24</f>
        <v>8333.3333333333339</v>
      </c>
      <c r="M81" s="140">
        <f t="shared" si="10"/>
        <v>222663.86206896554</v>
      </c>
    </row>
    <row r="82" spans="2:13" ht="14.7" thickBot="1" x14ac:dyDescent="0.6">
      <c r="D82" s="148">
        <f>SUM(D70:D81)</f>
        <v>813864</v>
      </c>
      <c r="E82" s="148">
        <f t="shared" ref="E82:M82" si="11">SUM(E70:E81)</f>
        <v>20000</v>
      </c>
      <c r="F82" s="148">
        <f t="shared" si="11"/>
        <v>473000</v>
      </c>
      <c r="G82" s="148">
        <f t="shared" si="11"/>
        <v>13800</v>
      </c>
      <c r="H82" s="148">
        <f t="shared" si="11"/>
        <v>19526.400000000001</v>
      </c>
      <c r="I82" s="148">
        <f t="shared" si="11"/>
        <v>72039.600000000006</v>
      </c>
      <c r="J82" s="148">
        <f t="shared" si="11"/>
        <v>1461011.4482758618</v>
      </c>
      <c r="K82" s="148">
        <f t="shared" si="11"/>
        <v>71000</v>
      </c>
      <c r="L82" s="148">
        <f t="shared" si="11"/>
        <v>77917.333333333328</v>
      </c>
      <c r="M82" s="148">
        <f t="shared" si="11"/>
        <v>3022158.7816091953</v>
      </c>
    </row>
    <row r="87" spans="2:13" ht="15" customHeight="1" x14ac:dyDescent="0.55000000000000004">
      <c r="B87" s="318" t="s">
        <v>36</v>
      </c>
      <c r="C87" s="319"/>
      <c r="D87" s="316" t="s">
        <v>196</v>
      </c>
      <c r="E87" s="298" t="s">
        <v>197</v>
      </c>
      <c r="F87" s="298" t="s">
        <v>203</v>
      </c>
      <c r="G87" s="298" t="s">
        <v>204</v>
      </c>
    </row>
    <row r="88" spans="2:13" ht="32.25" customHeight="1" thickBot="1" x14ac:dyDescent="0.6">
      <c r="B88" s="320"/>
      <c r="C88" s="321"/>
      <c r="D88" s="317"/>
      <c r="E88" s="299"/>
      <c r="F88" s="299"/>
      <c r="G88" s="299"/>
    </row>
    <row r="89" spans="2:13" ht="22.5" customHeight="1" x14ac:dyDescent="0.55000000000000004">
      <c r="B89" s="71" t="s">
        <v>10</v>
      </c>
      <c r="C89" s="72"/>
      <c r="D89" s="149" t="s">
        <v>198</v>
      </c>
      <c r="E89" s="149" t="s">
        <v>198</v>
      </c>
      <c r="F89" s="149" t="s">
        <v>200</v>
      </c>
      <c r="G89" s="149">
        <f>E89+F89</f>
        <v>6</v>
      </c>
    </row>
    <row r="90" spans="2:13" ht="22.5" customHeight="1" x14ac:dyDescent="0.55000000000000004">
      <c r="B90" s="76" t="s">
        <v>37</v>
      </c>
      <c r="C90" s="77"/>
      <c r="D90" s="150" t="s">
        <v>198</v>
      </c>
      <c r="E90" s="150" t="s">
        <v>198</v>
      </c>
      <c r="F90" s="150" t="s">
        <v>201</v>
      </c>
      <c r="G90" s="149">
        <f t="shared" ref="G90:G100" si="12">E90+F90</f>
        <v>8</v>
      </c>
    </row>
    <row r="91" spans="2:13" ht="22.5" customHeight="1" x14ac:dyDescent="0.55000000000000004">
      <c r="B91" s="76" t="s">
        <v>11</v>
      </c>
      <c r="C91" s="77"/>
      <c r="D91" s="150" t="s">
        <v>198</v>
      </c>
      <c r="E91" s="150" t="s">
        <v>198</v>
      </c>
      <c r="F91" s="150" t="s">
        <v>200</v>
      </c>
      <c r="G91" s="149">
        <f t="shared" si="12"/>
        <v>6</v>
      </c>
    </row>
    <row r="92" spans="2:13" ht="22.5" customHeight="1" x14ac:dyDescent="0.55000000000000004">
      <c r="B92" s="76" t="s">
        <v>12</v>
      </c>
      <c r="C92" s="77"/>
      <c r="D92" s="150" t="s">
        <v>198</v>
      </c>
      <c r="E92" s="150" t="s">
        <v>198</v>
      </c>
      <c r="F92" s="150" t="s">
        <v>200</v>
      </c>
      <c r="G92" s="149">
        <f t="shared" si="12"/>
        <v>6</v>
      </c>
    </row>
    <row r="93" spans="2:13" ht="22.5" customHeight="1" x14ac:dyDescent="0.55000000000000004">
      <c r="B93" s="76" t="s">
        <v>13</v>
      </c>
      <c r="C93" s="77"/>
      <c r="D93" s="150" t="s">
        <v>198</v>
      </c>
      <c r="E93" s="150" t="s">
        <v>198</v>
      </c>
      <c r="F93" s="150" t="s">
        <v>200</v>
      </c>
      <c r="G93" s="149">
        <f t="shared" si="12"/>
        <v>6</v>
      </c>
    </row>
    <row r="94" spans="2:13" ht="22.5" customHeight="1" x14ac:dyDescent="0.55000000000000004">
      <c r="B94" s="76" t="s">
        <v>14</v>
      </c>
      <c r="C94" s="77"/>
      <c r="D94" s="150" t="s">
        <v>198</v>
      </c>
      <c r="E94" s="150" t="s">
        <v>198</v>
      </c>
      <c r="F94" s="150" t="s">
        <v>200</v>
      </c>
      <c r="G94" s="149">
        <f t="shared" si="12"/>
        <v>6</v>
      </c>
    </row>
    <row r="95" spans="2:13" ht="22.5" customHeight="1" x14ac:dyDescent="0.55000000000000004">
      <c r="B95" s="312" t="s">
        <v>15</v>
      </c>
      <c r="C95" s="313"/>
      <c r="D95" s="150" t="s">
        <v>199</v>
      </c>
      <c r="E95" s="150" t="s">
        <v>199</v>
      </c>
      <c r="F95" s="150" t="s">
        <v>198</v>
      </c>
      <c r="G95" s="149">
        <f t="shared" si="12"/>
        <v>3</v>
      </c>
    </row>
    <row r="96" spans="2:13" ht="22.5" customHeight="1" x14ac:dyDescent="0.55000000000000004">
      <c r="B96" s="312" t="s">
        <v>16</v>
      </c>
      <c r="C96" s="313"/>
      <c r="D96" s="150" t="s">
        <v>198</v>
      </c>
      <c r="E96" s="150" t="s">
        <v>198</v>
      </c>
      <c r="F96" s="150" t="s">
        <v>200</v>
      </c>
      <c r="G96" s="149">
        <f t="shared" si="12"/>
        <v>6</v>
      </c>
    </row>
    <row r="97" spans="2:7" ht="22.5" customHeight="1" x14ac:dyDescent="0.55000000000000004">
      <c r="B97" s="312" t="s">
        <v>17</v>
      </c>
      <c r="C97" s="313"/>
      <c r="D97" s="150" t="s">
        <v>198</v>
      </c>
      <c r="E97" s="150" t="s">
        <v>199</v>
      </c>
      <c r="F97" s="150" t="s">
        <v>202</v>
      </c>
      <c r="G97" s="149">
        <f t="shared" si="12"/>
        <v>4</v>
      </c>
    </row>
    <row r="98" spans="2:7" ht="22.5" customHeight="1" x14ac:dyDescent="0.55000000000000004">
      <c r="B98" s="312" t="s">
        <v>18</v>
      </c>
      <c r="C98" s="313"/>
      <c r="D98" s="150" t="s">
        <v>198</v>
      </c>
      <c r="E98" s="150" t="s">
        <v>198</v>
      </c>
      <c r="F98" s="150" t="s">
        <v>200</v>
      </c>
      <c r="G98" s="149">
        <f t="shared" si="12"/>
        <v>6</v>
      </c>
    </row>
    <row r="99" spans="2:7" ht="22.5" customHeight="1" x14ac:dyDescent="0.55000000000000004">
      <c r="B99" s="312" t="s">
        <v>19</v>
      </c>
      <c r="C99" s="313"/>
      <c r="D99" s="150" t="s">
        <v>199</v>
      </c>
      <c r="E99" s="150" t="s">
        <v>199</v>
      </c>
      <c r="F99" s="150" t="s">
        <v>198</v>
      </c>
      <c r="G99" s="149">
        <f t="shared" si="12"/>
        <v>3</v>
      </c>
    </row>
    <row r="100" spans="2:7" ht="22.5" customHeight="1" x14ac:dyDescent="0.55000000000000004">
      <c r="B100" s="314" t="s">
        <v>41</v>
      </c>
      <c r="C100" s="315"/>
      <c r="D100" s="150" t="s">
        <v>198</v>
      </c>
      <c r="E100" s="150" t="s">
        <v>198</v>
      </c>
      <c r="F100" s="150" t="s">
        <v>200</v>
      </c>
      <c r="G100" s="149">
        <f t="shared" si="12"/>
        <v>6</v>
      </c>
    </row>
  </sheetData>
  <mergeCells count="30">
    <mergeCell ref="G87:G88"/>
    <mergeCell ref="D68:M68"/>
    <mergeCell ref="B68:C69"/>
    <mergeCell ref="B76:C76"/>
    <mergeCell ref="B77:C77"/>
    <mergeCell ref="B78:C78"/>
    <mergeCell ref="F87:F88"/>
    <mergeCell ref="B51:C52"/>
    <mergeCell ref="D51:E51"/>
    <mergeCell ref="F51:F52"/>
    <mergeCell ref="G51:H51"/>
    <mergeCell ref="I51:I52"/>
    <mergeCell ref="B59:C59"/>
    <mergeCell ref="B87:C88"/>
    <mergeCell ref="B95:C95"/>
    <mergeCell ref="B96:C96"/>
    <mergeCell ref="B97:C97"/>
    <mergeCell ref="B60:C60"/>
    <mergeCell ref="B61:C61"/>
    <mergeCell ref="B62:C62"/>
    <mergeCell ref="B63:C63"/>
    <mergeCell ref="B64:C64"/>
    <mergeCell ref="B80:C80"/>
    <mergeCell ref="B81:C81"/>
    <mergeCell ref="B79:C79"/>
    <mergeCell ref="B98:C98"/>
    <mergeCell ref="B99:C99"/>
    <mergeCell ref="B100:C100"/>
    <mergeCell ref="D87:D88"/>
    <mergeCell ref="E87:E88"/>
  </mergeCells>
  <printOptions horizontalCentered="1"/>
  <pageMargins left="0.23622047244094491" right="0.23622047244094491" top="0.51181102362204722" bottom="0.51181102362204722" header="0.31496062992125984" footer="0.31496062992125984"/>
  <pageSetup paperSize="9" scale="3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0AD7-A16B-4B99-88C4-FF89975D2DBB}">
  <sheetPr>
    <pageSetUpPr fitToPage="1"/>
  </sheetPr>
  <dimension ref="A1:Q152"/>
  <sheetViews>
    <sheetView showGridLines="0" topLeftCell="A72" zoomScaleNormal="100" workbookViewId="0">
      <selection activeCell="J149" sqref="J149"/>
    </sheetView>
  </sheetViews>
  <sheetFormatPr defaultColWidth="9.15625" defaultRowHeight="14.4" x14ac:dyDescent="0.55000000000000004"/>
  <cols>
    <col min="1" max="1" width="1.578125" style="88" customWidth="1"/>
    <col min="2" max="2" width="6.41796875" style="87" customWidth="1"/>
    <col min="3" max="3" width="26.578125" style="88" customWidth="1"/>
    <col min="4" max="4" width="10" style="88" customWidth="1"/>
    <col min="5" max="5" width="19.83984375" style="89" customWidth="1"/>
    <col min="6" max="6" width="9.26171875" style="88" customWidth="1"/>
    <col min="7" max="7" width="12" style="88" customWidth="1"/>
    <col min="8" max="8" width="11" style="88" customWidth="1"/>
    <col min="9" max="9" width="11.15625" style="88" customWidth="1"/>
    <col min="10" max="10" width="10.15625" style="88" customWidth="1"/>
    <col min="11" max="16384" width="9.15625" style="88"/>
  </cols>
  <sheetData>
    <row r="1" spans="2:10" ht="24.75" customHeight="1" x14ac:dyDescent="0.55000000000000004"/>
    <row r="2" spans="2:10" ht="24" customHeight="1" x14ac:dyDescent="0.55000000000000004">
      <c r="B2" s="329" t="s">
        <v>42</v>
      </c>
      <c r="C2" s="329"/>
      <c r="D2" s="90"/>
      <c r="E2" s="90"/>
      <c r="F2" s="90"/>
      <c r="G2" s="90"/>
      <c r="H2" s="90"/>
      <c r="I2" s="90"/>
    </row>
    <row r="3" spans="2:10" ht="28.8" x14ac:dyDescent="0.55000000000000004">
      <c r="B3" s="79" t="s">
        <v>43</v>
      </c>
      <c r="C3" s="91" t="s">
        <v>44</v>
      </c>
      <c r="D3" s="91" t="s">
        <v>45</v>
      </c>
      <c r="E3" s="92" t="s">
        <v>46</v>
      </c>
      <c r="F3" s="91" t="s">
        <v>47</v>
      </c>
      <c r="G3" s="91" t="s">
        <v>48</v>
      </c>
      <c r="H3" s="91" t="s">
        <v>49</v>
      </c>
      <c r="I3" s="91" t="s">
        <v>50</v>
      </c>
      <c r="J3" s="91" t="s">
        <v>51</v>
      </c>
    </row>
    <row r="4" spans="2:10" ht="19.5" customHeight="1" x14ac:dyDescent="0.55000000000000004">
      <c r="B4" s="93">
        <v>1</v>
      </c>
      <c r="C4" s="94" t="s">
        <v>52</v>
      </c>
      <c r="D4" s="95">
        <v>700093</v>
      </c>
      <c r="E4" s="94" t="s">
        <v>53</v>
      </c>
      <c r="F4" s="96" t="s">
        <v>54</v>
      </c>
      <c r="G4" s="95">
        <v>1910210582</v>
      </c>
      <c r="H4" s="97">
        <v>27000</v>
      </c>
      <c r="I4" s="98">
        <v>3255</v>
      </c>
      <c r="J4" s="98">
        <f>H4+I4</f>
        <v>30255</v>
      </c>
    </row>
    <row r="5" spans="2:10" ht="19.5" customHeight="1" x14ac:dyDescent="0.55000000000000004">
      <c r="B5" s="93">
        <v>2</v>
      </c>
      <c r="C5" s="94" t="s">
        <v>55</v>
      </c>
      <c r="D5" s="95">
        <v>700075</v>
      </c>
      <c r="E5" s="94" t="s">
        <v>53</v>
      </c>
      <c r="F5" s="95" t="s">
        <v>56</v>
      </c>
      <c r="G5" s="95">
        <v>1300542466</v>
      </c>
      <c r="H5" s="97">
        <v>23000</v>
      </c>
      <c r="I5" s="98">
        <v>11947</v>
      </c>
      <c r="J5" s="98">
        <f t="shared" ref="J5:J52" si="0">H5+I5</f>
        <v>34947</v>
      </c>
    </row>
    <row r="6" spans="2:10" ht="19.5" customHeight="1" x14ac:dyDescent="0.55000000000000004">
      <c r="B6" s="93">
        <v>3</v>
      </c>
      <c r="C6" s="94" t="s">
        <v>57</v>
      </c>
      <c r="D6" s="95">
        <v>700065</v>
      </c>
      <c r="E6" s="94" t="s">
        <v>58</v>
      </c>
      <c r="F6" s="95" t="s">
        <v>59</v>
      </c>
      <c r="G6" s="95">
        <v>1540695291</v>
      </c>
      <c r="H6" s="97">
        <v>13000</v>
      </c>
      <c r="I6" s="98">
        <v>6220</v>
      </c>
      <c r="J6" s="98">
        <f t="shared" si="0"/>
        <v>19220</v>
      </c>
    </row>
    <row r="7" spans="2:10" ht="19.5" customHeight="1" x14ac:dyDescent="0.55000000000000004">
      <c r="B7" s="93">
        <v>4</v>
      </c>
      <c r="C7" s="94" t="s">
        <v>60</v>
      </c>
      <c r="D7" s="95">
        <v>700056</v>
      </c>
      <c r="E7" s="94" t="s">
        <v>61</v>
      </c>
      <c r="F7" s="95" t="s">
        <v>62</v>
      </c>
      <c r="G7" s="95">
        <v>1936276818</v>
      </c>
      <c r="H7" s="97">
        <v>13000</v>
      </c>
      <c r="I7" s="98">
        <v>6220</v>
      </c>
      <c r="J7" s="98">
        <f t="shared" si="0"/>
        <v>19220</v>
      </c>
    </row>
    <row r="8" spans="2:10" ht="19.5" customHeight="1" x14ac:dyDescent="0.55000000000000004">
      <c r="B8" s="93">
        <v>5</v>
      </c>
      <c r="C8" s="94" t="s">
        <v>63</v>
      </c>
      <c r="D8" s="95">
        <v>700057</v>
      </c>
      <c r="E8" s="94" t="s">
        <v>64</v>
      </c>
      <c r="F8" s="95" t="s">
        <v>65</v>
      </c>
      <c r="G8" s="95">
        <v>1946278945</v>
      </c>
      <c r="H8" s="97">
        <v>13000</v>
      </c>
      <c r="I8" s="98">
        <v>3720</v>
      </c>
      <c r="J8" s="98">
        <f t="shared" si="0"/>
        <v>16720</v>
      </c>
    </row>
    <row r="9" spans="2:10" ht="19.5" customHeight="1" x14ac:dyDescent="0.55000000000000004">
      <c r="B9" s="93">
        <v>6</v>
      </c>
      <c r="C9" s="94" t="s">
        <v>66</v>
      </c>
      <c r="D9" s="99">
        <v>700044</v>
      </c>
      <c r="E9" s="94" t="s">
        <v>67</v>
      </c>
      <c r="F9" s="100" t="s">
        <v>68</v>
      </c>
      <c r="G9" s="99">
        <v>1730373458</v>
      </c>
      <c r="H9" s="101">
        <v>21000</v>
      </c>
      <c r="I9" s="98">
        <v>11590</v>
      </c>
      <c r="J9" s="98">
        <f t="shared" si="0"/>
        <v>32590</v>
      </c>
    </row>
    <row r="10" spans="2:10" ht="19.5" customHeight="1" x14ac:dyDescent="0.55000000000000004">
      <c r="B10" s="93">
        <v>7</v>
      </c>
      <c r="C10" s="94" t="s">
        <v>69</v>
      </c>
      <c r="D10" s="102">
        <v>700082</v>
      </c>
      <c r="E10" s="94" t="s">
        <v>70</v>
      </c>
      <c r="F10" s="102" t="s">
        <v>71</v>
      </c>
      <c r="G10" s="95">
        <v>1751577561</v>
      </c>
      <c r="H10" s="97">
        <v>23000</v>
      </c>
      <c r="I10" s="98">
        <v>5619</v>
      </c>
      <c r="J10" s="98">
        <f t="shared" si="0"/>
        <v>28619</v>
      </c>
    </row>
    <row r="11" spans="2:10" ht="19.5" customHeight="1" x14ac:dyDescent="0.55000000000000004">
      <c r="B11" s="93">
        <v>8</v>
      </c>
      <c r="C11" s="94" t="s">
        <v>72</v>
      </c>
      <c r="D11" s="95">
        <v>700041</v>
      </c>
      <c r="E11" s="94" t="s">
        <v>58</v>
      </c>
      <c r="F11" s="100" t="s">
        <v>73</v>
      </c>
      <c r="G11" s="95">
        <v>1673580076</v>
      </c>
      <c r="H11" s="97">
        <v>12000</v>
      </c>
      <c r="I11" s="98">
        <v>3100</v>
      </c>
      <c r="J11" s="98">
        <f t="shared" si="0"/>
        <v>15100</v>
      </c>
    </row>
    <row r="12" spans="2:10" ht="19.5" customHeight="1" x14ac:dyDescent="0.55000000000000004">
      <c r="B12" s="93">
        <v>9</v>
      </c>
      <c r="C12" s="103" t="s">
        <v>74</v>
      </c>
      <c r="D12" s="95">
        <v>700077</v>
      </c>
      <c r="E12" s="94" t="s">
        <v>58</v>
      </c>
      <c r="F12" s="95" t="s">
        <v>75</v>
      </c>
      <c r="G12" s="95">
        <v>1325438591</v>
      </c>
      <c r="H12" s="97">
        <v>15000</v>
      </c>
      <c r="I12" s="98">
        <v>8694</v>
      </c>
      <c r="J12" s="98">
        <f t="shared" si="0"/>
        <v>23694</v>
      </c>
    </row>
    <row r="13" spans="2:10" ht="19.5" customHeight="1" x14ac:dyDescent="0.55000000000000004">
      <c r="B13" s="93">
        <v>10</v>
      </c>
      <c r="C13" s="94" t="s">
        <v>76</v>
      </c>
      <c r="D13" s="95">
        <v>700042</v>
      </c>
      <c r="E13" s="94" t="s">
        <v>67</v>
      </c>
      <c r="F13" s="95" t="s">
        <v>77</v>
      </c>
      <c r="G13" s="99">
        <v>1730373613</v>
      </c>
      <c r="H13" s="101">
        <v>24000</v>
      </c>
      <c r="I13" s="98">
        <v>10899</v>
      </c>
      <c r="J13" s="98">
        <f t="shared" si="0"/>
        <v>34899</v>
      </c>
    </row>
    <row r="14" spans="2:10" ht="19.5" customHeight="1" x14ac:dyDescent="0.55000000000000004">
      <c r="B14" s="93">
        <v>11</v>
      </c>
      <c r="C14" s="94" t="s">
        <v>78</v>
      </c>
      <c r="D14" s="95">
        <v>700033</v>
      </c>
      <c r="E14" s="94" t="s">
        <v>79</v>
      </c>
      <c r="F14" s="100" t="s">
        <v>80</v>
      </c>
      <c r="G14" s="99">
        <v>1730088540</v>
      </c>
      <c r="H14" s="101">
        <v>20000</v>
      </c>
      <c r="I14" s="98">
        <v>3410</v>
      </c>
      <c r="J14" s="98">
        <f t="shared" si="0"/>
        <v>23410</v>
      </c>
    </row>
    <row r="15" spans="2:10" ht="19.5" customHeight="1" x14ac:dyDescent="0.55000000000000004">
      <c r="B15" s="93">
        <v>12</v>
      </c>
      <c r="C15" s="94" t="s">
        <v>81</v>
      </c>
      <c r="D15" s="95">
        <v>700087</v>
      </c>
      <c r="E15" s="94" t="s">
        <v>82</v>
      </c>
      <c r="F15" s="95" t="s">
        <v>83</v>
      </c>
      <c r="G15" s="95">
        <v>1327789763</v>
      </c>
      <c r="H15" s="97">
        <v>13000</v>
      </c>
      <c r="I15" s="98">
        <v>4300</v>
      </c>
      <c r="J15" s="98">
        <f t="shared" si="0"/>
        <v>17300</v>
      </c>
    </row>
    <row r="16" spans="2:10" ht="19.5" customHeight="1" x14ac:dyDescent="0.55000000000000004">
      <c r="B16" s="93">
        <v>13</v>
      </c>
      <c r="C16" s="94" t="s">
        <v>84</v>
      </c>
      <c r="D16" s="95">
        <v>700059</v>
      </c>
      <c r="E16" s="94" t="s">
        <v>85</v>
      </c>
      <c r="F16" s="95" t="s">
        <v>86</v>
      </c>
      <c r="G16" s="95">
        <v>1757733370</v>
      </c>
      <c r="H16" s="97">
        <v>18000</v>
      </c>
      <c r="I16" s="98">
        <v>3255</v>
      </c>
      <c r="J16" s="98">
        <f t="shared" si="0"/>
        <v>21255</v>
      </c>
    </row>
    <row r="17" spans="2:10" ht="19.5" customHeight="1" x14ac:dyDescent="0.55000000000000004">
      <c r="B17" s="93">
        <v>14</v>
      </c>
      <c r="C17" s="94" t="s">
        <v>87</v>
      </c>
      <c r="D17" s="95">
        <v>700070</v>
      </c>
      <c r="E17" s="94" t="s">
        <v>88</v>
      </c>
      <c r="F17" s="95" t="s">
        <v>89</v>
      </c>
      <c r="G17" s="95">
        <v>1829817577</v>
      </c>
      <c r="H17" s="97">
        <v>14000</v>
      </c>
      <c r="I17" s="98">
        <v>3720</v>
      </c>
      <c r="J17" s="98">
        <f t="shared" si="0"/>
        <v>17720</v>
      </c>
    </row>
    <row r="18" spans="2:10" ht="19.5" customHeight="1" x14ac:dyDescent="0.55000000000000004">
      <c r="B18" s="93">
        <v>15</v>
      </c>
      <c r="C18" s="94" t="s">
        <v>90</v>
      </c>
      <c r="D18" s="99">
        <v>700094</v>
      </c>
      <c r="E18" s="94" t="s">
        <v>58</v>
      </c>
      <c r="F18" s="99" t="s">
        <v>91</v>
      </c>
      <c r="G18" s="99">
        <v>1688801619</v>
      </c>
      <c r="H18" s="101">
        <v>13000</v>
      </c>
      <c r="I18" s="98">
        <v>2015</v>
      </c>
      <c r="J18" s="98">
        <f t="shared" si="0"/>
        <v>15015</v>
      </c>
    </row>
    <row r="19" spans="2:10" ht="19.5" customHeight="1" x14ac:dyDescent="0.55000000000000004">
      <c r="B19" s="93">
        <v>16</v>
      </c>
      <c r="C19" s="94" t="s">
        <v>92</v>
      </c>
      <c r="D19" s="99">
        <v>700039</v>
      </c>
      <c r="E19" s="94" t="s">
        <v>70</v>
      </c>
      <c r="F19" s="100" t="s">
        <v>93</v>
      </c>
      <c r="G19" s="99">
        <v>1712308009</v>
      </c>
      <c r="H19" s="101">
        <v>22000</v>
      </c>
      <c r="I19" s="98">
        <v>3720</v>
      </c>
      <c r="J19" s="98">
        <f t="shared" si="0"/>
        <v>25720</v>
      </c>
    </row>
    <row r="20" spans="2:10" ht="19.5" customHeight="1" x14ac:dyDescent="0.55000000000000004">
      <c r="B20" s="93">
        <v>17</v>
      </c>
      <c r="C20" s="94" t="s">
        <v>94</v>
      </c>
      <c r="D20" s="99">
        <v>700063</v>
      </c>
      <c r="E20" s="94" t="s">
        <v>82</v>
      </c>
      <c r="F20" s="99" t="s">
        <v>95</v>
      </c>
      <c r="G20" s="95">
        <v>1778465120</v>
      </c>
      <c r="H20" s="97">
        <v>13000</v>
      </c>
      <c r="I20" s="98">
        <v>4455</v>
      </c>
      <c r="J20" s="98">
        <f t="shared" si="0"/>
        <v>17455</v>
      </c>
    </row>
    <row r="21" spans="2:10" ht="19.5" customHeight="1" x14ac:dyDescent="0.55000000000000004">
      <c r="B21" s="93">
        <v>18</v>
      </c>
      <c r="C21" s="94" t="s">
        <v>96</v>
      </c>
      <c r="D21" s="95">
        <v>700028</v>
      </c>
      <c r="E21" s="94" t="s">
        <v>58</v>
      </c>
      <c r="F21" s="104" t="s">
        <v>97</v>
      </c>
      <c r="G21" s="95">
        <v>1620077576</v>
      </c>
      <c r="H21" s="97">
        <v>13000</v>
      </c>
      <c r="I21" s="98">
        <v>4455</v>
      </c>
      <c r="J21" s="98">
        <f t="shared" si="0"/>
        <v>17455</v>
      </c>
    </row>
    <row r="22" spans="2:10" ht="19.5" customHeight="1" x14ac:dyDescent="0.55000000000000004">
      <c r="B22" s="93">
        <v>19</v>
      </c>
      <c r="C22" s="105" t="s">
        <v>98</v>
      </c>
      <c r="D22" s="95">
        <v>700073</v>
      </c>
      <c r="E22" s="94" t="s">
        <v>99</v>
      </c>
      <c r="F22" s="95" t="s">
        <v>100</v>
      </c>
      <c r="G22" s="95">
        <v>1828055314</v>
      </c>
      <c r="H22" s="97">
        <v>18000</v>
      </c>
      <c r="I22" s="98">
        <v>7220</v>
      </c>
      <c r="J22" s="98">
        <f t="shared" si="0"/>
        <v>25220</v>
      </c>
    </row>
    <row r="23" spans="2:10" ht="19.5" customHeight="1" x14ac:dyDescent="0.55000000000000004">
      <c r="B23" s="93">
        <v>20</v>
      </c>
      <c r="C23" s="106" t="s">
        <v>101</v>
      </c>
      <c r="D23" s="95">
        <v>700080</v>
      </c>
      <c r="E23" s="94" t="s">
        <v>58</v>
      </c>
      <c r="F23" s="95" t="s">
        <v>102</v>
      </c>
      <c r="G23" s="95">
        <v>1318373594</v>
      </c>
      <c r="H23" s="97">
        <v>15000</v>
      </c>
      <c r="I23" s="98">
        <v>6220</v>
      </c>
      <c r="J23" s="98">
        <f t="shared" si="0"/>
        <v>21220</v>
      </c>
    </row>
    <row r="24" spans="2:10" ht="19.5" customHeight="1" x14ac:dyDescent="0.55000000000000004">
      <c r="B24" s="93">
        <v>21</v>
      </c>
      <c r="C24" s="94" t="s">
        <v>103</v>
      </c>
      <c r="D24" s="95">
        <v>700031</v>
      </c>
      <c r="E24" s="94" t="s">
        <v>58</v>
      </c>
      <c r="F24" s="100" t="s">
        <v>104</v>
      </c>
      <c r="G24" s="95">
        <v>1705667757</v>
      </c>
      <c r="H24" s="97">
        <v>13500</v>
      </c>
      <c r="I24" s="98">
        <v>3255</v>
      </c>
      <c r="J24" s="98">
        <f t="shared" si="0"/>
        <v>16755</v>
      </c>
    </row>
    <row r="25" spans="2:10" ht="19.5" customHeight="1" x14ac:dyDescent="0.55000000000000004">
      <c r="B25" s="93">
        <v>22</v>
      </c>
      <c r="C25" s="94" t="s">
        <v>57</v>
      </c>
      <c r="D25" s="99">
        <v>700002</v>
      </c>
      <c r="E25" s="94" t="s">
        <v>67</v>
      </c>
      <c r="F25" s="107" t="s">
        <v>105</v>
      </c>
      <c r="G25" s="99">
        <v>1730373479</v>
      </c>
      <c r="H25" s="101">
        <v>22000</v>
      </c>
      <c r="I25" s="98">
        <v>7220</v>
      </c>
      <c r="J25" s="98">
        <f t="shared" si="0"/>
        <v>29220</v>
      </c>
    </row>
    <row r="26" spans="2:10" ht="19.5" customHeight="1" x14ac:dyDescent="0.55000000000000004">
      <c r="B26" s="93">
        <v>23</v>
      </c>
      <c r="C26" s="94" t="s">
        <v>106</v>
      </c>
      <c r="D26" s="99">
        <v>700036</v>
      </c>
      <c r="E26" s="94" t="s">
        <v>58</v>
      </c>
      <c r="F26" s="108" t="s">
        <v>107</v>
      </c>
      <c r="G26" s="99">
        <v>1618970279</v>
      </c>
      <c r="H26" s="101">
        <v>15000</v>
      </c>
      <c r="I26" s="98">
        <v>3720</v>
      </c>
      <c r="J26" s="98">
        <f t="shared" si="0"/>
        <v>18720</v>
      </c>
    </row>
    <row r="27" spans="2:10" ht="19.5" customHeight="1" x14ac:dyDescent="0.55000000000000004">
      <c r="B27" s="93">
        <v>24</v>
      </c>
      <c r="C27" s="94" t="s">
        <v>108</v>
      </c>
      <c r="D27" s="99">
        <v>700064</v>
      </c>
      <c r="E27" s="94" t="s">
        <v>82</v>
      </c>
      <c r="F27" s="99" t="s">
        <v>59</v>
      </c>
      <c r="G27" s="95">
        <v>1706072599</v>
      </c>
      <c r="H27" s="97">
        <v>13000</v>
      </c>
      <c r="I27" s="98">
        <v>4145</v>
      </c>
      <c r="J27" s="98">
        <f t="shared" si="0"/>
        <v>17145</v>
      </c>
    </row>
    <row r="28" spans="2:10" ht="19.5" customHeight="1" x14ac:dyDescent="0.55000000000000004">
      <c r="B28" s="93">
        <v>25</v>
      </c>
      <c r="C28" s="94" t="s">
        <v>109</v>
      </c>
      <c r="D28" s="95">
        <v>700088</v>
      </c>
      <c r="E28" s="94" t="s">
        <v>70</v>
      </c>
      <c r="F28" s="95" t="s">
        <v>110</v>
      </c>
      <c r="G28" s="95">
        <v>1705813113</v>
      </c>
      <c r="H28" s="97">
        <v>18000</v>
      </c>
      <c r="I28" s="98">
        <v>9137</v>
      </c>
      <c r="J28" s="98">
        <f t="shared" si="0"/>
        <v>27137</v>
      </c>
    </row>
    <row r="29" spans="2:10" ht="19.5" customHeight="1" x14ac:dyDescent="0.55000000000000004">
      <c r="B29" s="93">
        <v>26</v>
      </c>
      <c r="C29" s="94" t="s">
        <v>111</v>
      </c>
      <c r="D29" s="95">
        <v>700084</v>
      </c>
      <c r="E29" s="94" t="s">
        <v>58</v>
      </c>
      <c r="F29" s="95" t="s">
        <v>112</v>
      </c>
      <c r="G29" s="95">
        <v>1881956191</v>
      </c>
      <c r="H29" s="97">
        <v>13000</v>
      </c>
      <c r="I29" s="98">
        <v>4679</v>
      </c>
      <c r="J29" s="98">
        <f t="shared" si="0"/>
        <v>17679</v>
      </c>
    </row>
    <row r="30" spans="2:10" ht="19.5" customHeight="1" x14ac:dyDescent="0.55000000000000004">
      <c r="B30" s="93">
        <v>27</v>
      </c>
      <c r="C30" s="94" t="s">
        <v>113</v>
      </c>
      <c r="D30" s="102">
        <v>700078</v>
      </c>
      <c r="E30" s="94" t="s">
        <v>58</v>
      </c>
      <c r="F30" s="102" t="s">
        <v>75</v>
      </c>
      <c r="G30" s="95">
        <v>1624289489</v>
      </c>
      <c r="H30" s="97">
        <v>13000</v>
      </c>
      <c r="I30" s="98">
        <v>8610</v>
      </c>
      <c r="J30" s="98">
        <f t="shared" si="0"/>
        <v>21610</v>
      </c>
    </row>
    <row r="31" spans="2:10" ht="19.5" customHeight="1" x14ac:dyDescent="0.55000000000000004">
      <c r="B31" s="93">
        <v>28</v>
      </c>
      <c r="C31" s="94" t="s">
        <v>114</v>
      </c>
      <c r="D31" s="102">
        <v>700083</v>
      </c>
      <c r="E31" s="94" t="s">
        <v>58</v>
      </c>
      <c r="F31" s="102" t="s">
        <v>71</v>
      </c>
      <c r="G31" s="95">
        <v>1866862761</v>
      </c>
      <c r="H31" s="97">
        <v>14000</v>
      </c>
      <c r="I31" s="98">
        <v>6160</v>
      </c>
      <c r="J31" s="98">
        <f t="shared" si="0"/>
        <v>20160</v>
      </c>
    </row>
    <row r="32" spans="2:10" ht="19.5" customHeight="1" x14ac:dyDescent="0.55000000000000004">
      <c r="B32" s="93">
        <v>29</v>
      </c>
      <c r="C32" s="94" t="s">
        <v>115</v>
      </c>
      <c r="D32" s="95">
        <v>700085</v>
      </c>
      <c r="E32" s="94" t="s">
        <v>70</v>
      </c>
      <c r="F32" s="95" t="s">
        <v>116</v>
      </c>
      <c r="G32" s="95">
        <v>1400457241</v>
      </c>
      <c r="H32" s="97">
        <v>18000</v>
      </c>
      <c r="I32" s="98">
        <v>7220</v>
      </c>
      <c r="J32" s="98">
        <f t="shared" si="0"/>
        <v>25220</v>
      </c>
    </row>
    <row r="33" spans="2:10" ht="19.5" customHeight="1" x14ac:dyDescent="0.55000000000000004">
      <c r="B33" s="93">
        <v>30</v>
      </c>
      <c r="C33" s="94" t="s">
        <v>117</v>
      </c>
      <c r="D33" s="95">
        <v>700067</v>
      </c>
      <c r="E33" s="94" t="s">
        <v>88</v>
      </c>
      <c r="F33" s="95" t="s">
        <v>118</v>
      </c>
      <c r="G33" s="95">
        <v>1774662027</v>
      </c>
      <c r="H33" s="97">
        <v>15000</v>
      </c>
      <c r="I33" s="98">
        <v>3720</v>
      </c>
      <c r="J33" s="98">
        <f t="shared" si="0"/>
        <v>18720</v>
      </c>
    </row>
    <row r="34" spans="2:10" ht="19.5" customHeight="1" x14ac:dyDescent="0.55000000000000004">
      <c r="B34" s="93">
        <v>31</v>
      </c>
      <c r="C34" s="94" t="s">
        <v>119</v>
      </c>
      <c r="D34" s="95">
        <v>700095</v>
      </c>
      <c r="E34" s="94" t="s">
        <v>88</v>
      </c>
      <c r="F34" s="95" t="s">
        <v>120</v>
      </c>
      <c r="G34" s="95">
        <v>1997660331</v>
      </c>
      <c r="H34" s="97">
        <v>15000</v>
      </c>
      <c r="I34" s="98">
        <v>1550</v>
      </c>
      <c r="J34" s="98">
        <f t="shared" si="0"/>
        <v>16550</v>
      </c>
    </row>
    <row r="35" spans="2:10" ht="19.5" customHeight="1" x14ac:dyDescent="0.55000000000000004">
      <c r="B35" s="93">
        <v>32</v>
      </c>
      <c r="C35" s="94" t="s">
        <v>121</v>
      </c>
      <c r="D35" s="95">
        <v>700081</v>
      </c>
      <c r="E35" s="94" t="s">
        <v>70</v>
      </c>
      <c r="F35" s="95" t="s">
        <v>71</v>
      </c>
      <c r="G35" s="95">
        <v>1957719741</v>
      </c>
      <c r="H35" s="97">
        <v>23000</v>
      </c>
      <c r="I35" s="98">
        <v>3720</v>
      </c>
      <c r="J35" s="98">
        <f t="shared" si="0"/>
        <v>26720</v>
      </c>
    </row>
    <row r="36" spans="2:10" ht="19.5" customHeight="1" x14ac:dyDescent="0.55000000000000004">
      <c r="B36" s="93">
        <v>33</v>
      </c>
      <c r="C36" s="94" t="s">
        <v>122</v>
      </c>
      <c r="D36" s="102">
        <v>700089</v>
      </c>
      <c r="E36" s="94" t="s">
        <v>70</v>
      </c>
      <c r="F36" s="102" t="s">
        <v>123</v>
      </c>
      <c r="G36" s="95">
        <v>1741986291</v>
      </c>
      <c r="H36" s="97">
        <v>18000</v>
      </c>
      <c r="I36" s="98">
        <v>7220</v>
      </c>
      <c r="J36" s="98">
        <f t="shared" si="0"/>
        <v>25220</v>
      </c>
    </row>
    <row r="37" spans="2:10" ht="19.5" customHeight="1" x14ac:dyDescent="0.55000000000000004">
      <c r="B37" s="93">
        <v>34</v>
      </c>
      <c r="C37" s="94" t="s">
        <v>124</v>
      </c>
      <c r="D37" s="102">
        <v>700076</v>
      </c>
      <c r="E37" s="94" t="s">
        <v>99</v>
      </c>
      <c r="F37" s="102" t="s">
        <v>75</v>
      </c>
      <c r="G37" s="95">
        <v>1779854207</v>
      </c>
      <c r="H37" s="97">
        <v>17000</v>
      </c>
      <c r="I37" s="98">
        <v>7548</v>
      </c>
      <c r="J37" s="98">
        <f t="shared" si="0"/>
        <v>24548</v>
      </c>
    </row>
    <row r="38" spans="2:10" ht="19.5" customHeight="1" x14ac:dyDescent="0.55000000000000004">
      <c r="B38" s="93">
        <v>35</v>
      </c>
      <c r="C38" s="94" t="s">
        <v>125</v>
      </c>
      <c r="D38" s="95">
        <v>700021</v>
      </c>
      <c r="E38" s="94" t="s">
        <v>58</v>
      </c>
      <c r="F38" s="104" t="s">
        <v>126</v>
      </c>
      <c r="G38" s="95">
        <v>1700770106</v>
      </c>
      <c r="H38" s="97">
        <v>15000</v>
      </c>
      <c r="I38" s="98">
        <v>8241</v>
      </c>
      <c r="J38" s="98">
        <f t="shared" si="0"/>
        <v>23241</v>
      </c>
    </row>
    <row r="39" spans="2:10" ht="19.5" customHeight="1" x14ac:dyDescent="0.55000000000000004">
      <c r="B39" s="93">
        <v>36</v>
      </c>
      <c r="C39" s="94" t="s">
        <v>127</v>
      </c>
      <c r="D39" s="95">
        <v>700055</v>
      </c>
      <c r="E39" s="94" t="s">
        <v>82</v>
      </c>
      <c r="F39" s="95" t="s">
        <v>128</v>
      </c>
      <c r="G39" s="95">
        <v>1991627530</v>
      </c>
      <c r="H39" s="97">
        <v>12000</v>
      </c>
      <c r="I39" s="98">
        <v>4491</v>
      </c>
      <c r="J39" s="98">
        <f t="shared" si="0"/>
        <v>16491</v>
      </c>
    </row>
    <row r="40" spans="2:10" ht="19.5" customHeight="1" x14ac:dyDescent="0.55000000000000004">
      <c r="B40" s="93">
        <v>37</v>
      </c>
      <c r="C40" s="94" t="s">
        <v>129</v>
      </c>
      <c r="D40" s="95">
        <v>700029</v>
      </c>
      <c r="E40" s="94" t="s">
        <v>58</v>
      </c>
      <c r="F40" s="104" t="s">
        <v>130</v>
      </c>
      <c r="G40" s="95">
        <v>1877283503</v>
      </c>
      <c r="H40" s="97">
        <v>13000</v>
      </c>
      <c r="I40" s="98">
        <v>9857</v>
      </c>
      <c r="J40" s="98">
        <f t="shared" si="0"/>
        <v>22857</v>
      </c>
    </row>
    <row r="41" spans="2:10" ht="19.5" customHeight="1" x14ac:dyDescent="0.55000000000000004">
      <c r="B41" s="93">
        <v>38</v>
      </c>
      <c r="C41" s="94" t="s">
        <v>131</v>
      </c>
      <c r="D41" s="95">
        <v>700068</v>
      </c>
      <c r="E41" s="94" t="s">
        <v>82</v>
      </c>
      <c r="F41" s="95" t="s">
        <v>118</v>
      </c>
      <c r="G41" s="95">
        <v>1970055437</v>
      </c>
      <c r="H41" s="97">
        <v>13000</v>
      </c>
      <c r="I41" s="98">
        <v>3565</v>
      </c>
      <c r="J41" s="98">
        <f t="shared" si="0"/>
        <v>16565</v>
      </c>
    </row>
    <row r="42" spans="2:10" ht="19.5" customHeight="1" x14ac:dyDescent="0.55000000000000004">
      <c r="B42" s="93">
        <v>39</v>
      </c>
      <c r="C42" s="94" t="s">
        <v>132</v>
      </c>
      <c r="D42" s="102">
        <v>700090</v>
      </c>
      <c r="E42" s="94" t="s">
        <v>58</v>
      </c>
      <c r="F42" s="102" t="s">
        <v>123</v>
      </c>
      <c r="G42" s="95">
        <v>1705599836</v>
      </c>
      <c r="H42" s="97">
        <v>16000</v>
      </c>
      <c r="I42" s="98">
        <v>3720</v>
      </c>
      <c r="J42" s="98">
        <f t="shared" si="0"/>
        <v>19720</v>
      </c>
    </row>
    <row r="43" spans="2:10" ht="19.5" customHeight="1" x14ac:dyDescent="0.55000000000000004">
      <c r="B43" s="93">
        <v>40</v>
      </c>
      <c r="C43" s="94" t="s">
        <v>133</v>
      </c>
      <c r="D43" s="102">
        <v>700091</v>
      </c>
      <c r="E43" s="94" t="s">
        <v>88</v>
      </c>
      <c r="F43" s="102" t="s">
        <v>123</v>
      </c>
      <c r="G43" s="99">
        <v>1531795448</v>
      </c>
      <c r="H43" s="109">
        <v>15000</v>
      </c>
      <c r="I43" s="110">
        <v>6220</v>
      </c>
      <c r="J43" s="98">
        <f t="shared" si="0"/>
        <v>21220</v>
      </c>
    </row>
    <row r="44" spans="2:10" ht="19.5" customHeight="1" x14ac:dyDescent="0.55000000000000004">
      <c r="B44" s="93">
        <v>41</v>
      </c>
      <c r="C44" s="94" t="s">
        <v>134</v>
      </c>
      <c r="D44" s="102">
        <v>700096</v>
      </c>
      <c r="E44" s="94" t="s">
        <v>88</v>
      </c>
      <c r="F44" s="102" t="s">
        <v>135</v>
      </c>
      <c r="G44" s="95">
        <v>1772160396</v>
      </c>
      <c r="H44" s="111">
        <v>15000</v>
      </c>
      <c r="I44" s="112">
        <v>155</v>
      </c>
      <c r="J44" s="98">
        <f t="shared" si="0"/>
        <v>15155</v>
      </c>
    </row>
    <row r="45" spans="2:10" ht="19.5" customHeight="1" x14ac:dyDescent="0.55000000000000004">
      <c r="B45" s="93">
        <v>42</v>
      </c>
      <c r="C45" s="94" t="s">
        <v>136</v>
      </c>
      <c r="D45" s="95">
        <v>700097</v>
      </c>
      <c r="E45" s="94" t="s">
        <v>137</v>
      </c>
      <c r="F45" s="102" t="s">
        <v>135</v>
      </c>
      <c r="G45" s="95">
        <v>1877366614</v>
      </c>
      <c r="H45" s="111">
        <v>15500</v>
      </c>
      <c r="I45" s="110">
        <v>155</v>
      </c>
      <c r="J45" s="98">
        <f t="shared" si="0"/>
        <v>15655</v>
      </c>
    </row>
    <row r="46" spans="2:10" ht="19.5" customHeight="1" x14ac:dyDescent="0.55000000000000004">
      <c r="B46" s="93">
        <v>43</v>
      </c>
      <c r="C46" s="94" t="s">
        <v>138</v>
      </c>
      <c r="D46" s="95">
        <v>700098</v>
      </c>
      <c r="E46" s="94" t="s">
        <v>137</v>
      </c>
      <c r="F46" s="102" t="s">
        <v>135</v>
      </c>
      <c r="G46" s="95">
        <v>1946075439</v>
      </c>
      <c r="H46" s="111">
        <v>16000</v>
      </c>
      <c r="I46" s="110">
        <v>155</v>
      </c>
      <c r="J46" s="98">
        <f t="shared" si="0"/>
        <v>16155</v>
      </c>
    </row>
    <row r="47" spans="2:10" ht="19.5" customHeight="1" x14ac:dyDescent="0.55000000000000004">
      <c r="B47" s="93">
        <v>44</v>
      </c>
      <c r="C47" s="94" t="s">
        <v>139</v>
      </c>
      <c r="D47" s="95">
        <v>700099</v>
      </c>
      <c r="E47" s="94" t="s">
        <v>140</v>
      </c>
      <c r="F47" s="95" t="s">
        <v>141</v>
      </c>
      <c r="G47" s="95">
        <v>1402043017</v>
      </c>
      <c r="H47" s="111">
        <v>20000</v>
      </c>
      <c r="I47" s="110"/>
      <c r="J47" s="98">
        <f t="shared" si="0"/>
        <v>20000</v>
      </c>
    </row>
    <row r="48" spans="2:10" ht="19.5" customHeight="1" x14ac:dyDescent="0.55000000000000004">
      <c r="B48" s="93">
        <v>45</v>
      </c>
      <c r="C48" s="94" t="s">
        <v>142</v>
      </c>
      <c r="D48" s="95">
        <v>700047</v>
      </c>
      <c r="E48" s="94" t="s">
        <v>143</v>
      </c>
      <c r="F48" s="95"/>
      <c r="G48" s="95"/>
      <c r="H48" s="111">
        <v>40000</v>
      </c>
      <c r="I48" s="110">
        <v>3410</v>
      </c>
      <c r="J48" s="110">
        <f t="shared" si="0"/>
        <v>43410</v>
      </c>
    </row>
    <row r="49" spans="1:10" ht="19.5" customHeight="1" x14ac:dyDescent="0.55000000000000004">
      <c r="B49" s="93">
        <v>46</v>
      </c>
      <c r="C49" s="94" t="s">
        <v>144</v>
      </c>
      <c r="D49" s="95">
        <v>700052</v>
      </c>
      <c r="E49" s="94" t="s">
        <v>145</v>
      </c>
      <c r="F49" s="95"/>
      <c r="G49" s="95"/>
      <c r="H49" s="111">
        <v>13000</v>
      </c>
      <c r="I49" s="110">
        <v>3100</v>
      </c>
      <c r="J49" s="110">
        <f t="shared" si="0"/>
        <v>16100</v>
      </c>
    </row>
    <row r="50" spans="1:10" ht="19.5" customHeight="1" x14ac:dyDescent="0.55000000000000004">
      <c r="B50" s="93">
        <v>47</v>
      </c>
      <c r="C50" s="94" t="s">
        <v>146</v>
      </c>
      <c r="D50" s="95">
        <v>700061</v>
      </c>
      <c r="E50" s="94" t="s">
        <v>147</v>
      </c>
      <c r="F50" s="95"/>
      <c r="G50" s="95"/>
      <c r="H50" s="111">
        <v>22000</v>
      </c>
      <c r="I50" s="110">
        <v>3410</v>
      </c>
      <c r="J50" s="110">
        <f t="shared" si="0"/>
        <v>25410</v>
      </c>
    </row>
    <row r="51" spans="1:10" ht="19.5" customHeight="1" x14ac:dyDescent="0.55000000000000004">
      <c r="B51" s="93">
        <v>48</v>
      </c>
      <c r="C51" s="94" t="s">
        <v>148</v>
      </c>
      <c r="D51" s="95">
        <v>700062</v>
      </c>
      <c r="E51" s="94" t="s">
        <v>147</v>
      </c>
      <c r="F51" s="95"/>
      <c r="G51" s="95"/>
      <c r="H51" s="111">
        <v>18000</v>
      </c>
      <c r="I51" s="110">
        <v>3565</v>
      </c>
      <c r="J51" s="110">
        <f t="shared" si="0"/>
        <v>21565</v>
      </c>
    </row>
    <row r="52" spans="1:10" ht="19.5" customHeight="1" x14ac:dyDescent="0.55000000000000004">
      <c r="B52" s="93">
        <v>49</v>
      </c>
      <c r="C52" s="94" t="s">
        <v>149</v>
      </c>
      <c r="D52" s="95">
        <v>700072</v>
      </c>
      <c r="E52" s="94" t="s">
        <v>150</v>
      </c>
      <c r="F52" s="95"/>
      <c r="G52" s="95"/>
      <c r="H52" s="111">
        <v>28000</v>
      </c>
      <c r="I52" s="110">
        <v>3565</v>
      </c>
      <c r="J52" s="110">
        <f t="shared" si="0"/>
        <v>31565</v>
      </c>
    </row>
    <row r="53" spans="1:10" ht="19.5" customHeight="1" x14ac:dyDescent="0.55000000000000004">
      <c r="B53" s="93"/>
      <c r="C53" s="94"/>
      <c r="D53" s="95"/>
      <c r="E53" s="94"/>
      <c r="F53" s="95"/>
      <c r="G53" s="95"/>
      <c r="H53" s="111"/>
      <c r="I53" s="110"/>
      <c r="J53" s="110"/>
    </row>
    <row r="54" spans="1:10" ht="19.5" customHeight="1" x14ac:dyDescent="0.55000000000000004">
      <c r="B54" s="93"/>
      <c r="C54" s="94"/>
      <c r="D54" s="95"/>
      <c r="E54" s="94"/>
      <c r="F54" s="95"/>
      <c r="G54" s="95"/>
      <c r="H54" s="111"/>
      <c r="I54" s="110"/>
      <c r="J54" s="110"/>
    </row>
    <row r="55" spans="1:10" ht="19.5" customHeight="1" x14ac:dyDescent="0.55000000000000004">
      <c r="B55" s="93"/>
      <c r="C55" s="94"/>
      <c r="D55" s="95"/>
      <c r="E55" s="94"/>
      <c r="F55" s="95"/>
      <c r="G55" s="95"/>
      <c r="H55" s="111"/>
      <c r="I55" s="110"/>
      <c r="J55" s="110"/>
    </row>
    <row r="56" spans="1:10" ht="14.7" thickBot="1" x14ac:dyDescent="0.6">
      <c r="C56" s="113"/>
      <c r="D56" s="114"/>
      <c r="E56" s="113"/>
      <c r="F56" s="114"/>
      <c r="G56" s="114"/>
      <c r="H56" s="115">
        <f>SUM(H4:H52)</f>
        <v>842000</v>
      </c>
      <c r="I56" s="115">
        <f>SUM(I4:I52)</f>
        <v>245547</v>
      </c>
      <c r="J56" s="115">
        <f>SUM(J4:J52)</f>
        <v>1087547</v>
      </c>
    </row>
    <row r="57" spans="1:10" x14ac:dyDescent="0.55000000000000004">
      <c r="C57" s="113"/>
      <c r="D57" s="114"/>
      <c r="E57" s="113"/>
      <c r="F57" s="114"/>
      <c r="G57" s="114"/>
      <c r="H57" s="116"/>
      <c r="I57" s="114"/>
      <c r="J57" s="88">
        <f>SUBTOTAL(9,J6:J52)</f>
        <v>1022345</v>
      </c>
    </row>
    <row r="58" spans="1:10" customFormat="1" x14ac:dyDescent="0.55000000000000004">
      <c r="A58" s="88"/>
      <c r="B58" s="87"/>
      <c r="C58" s="113"/>
      <c r="D58" s="114"/>
      <c r="E58" s="113"/>
      <c r="F58" s="114"/>
      <c r="G58" s="114"/>
      <c r="H58" s="116"/>
      <c r="I58" s="114"/>
      <c r="J58" s="88"/>
    </row>
    <row r="59" spans="1:10" customFormat="1" x14ac:dyDescent="0.55000000000000004">
      <c r="A59" s="88"/>
      <c r="B59" s="87"/>
      <c r="C59" s="113"/>
      <c r="D59" s="114"/>
      <c r="E59" s="113"/>
      <c r="F59" s="114"/>
      <c r="G59" s="114"/>
      <c r="H59" s="116"/>
      <c r="I59" s="114"/>
      <c r="J59" s="88"/>
    </row>
    <row r="60" spans="1:10" customFormat="1" x14ac:dyDescent="0.55000000000000004">
      <c r="A60" s="88"/>
      <c r="B60" s="87"/>
      <c r="C60" s="113"/>
      <c r="D60" s="117"/>
      <c r="E60" s="113"/>
      <c r="F60" s="114"/>
      <c r="G60" s="114"/>
      <c r="H60" s="114"/>
      <c r="I60" s="114"/>
      <c r="J60" s="88"/>
    </row>
    <row r="61" spans="1:10" customFormat="1" x14ac:dyDescent="0.55000000000000004">
      <c r="A61" s="88"/>
      <c r="B61" s="87"/>
      <c r="C61" s="114"/>
      <c r="D61" s="117"/>
      <c r="E61" s="113"/>
      <c r="F61" s="114"/>
      <c r="G61" s="114"/>
      <c r="H61" s="114"/>
      <c r="I61" s="114"/>
      <c r="J61" s="88"/>
    </row>
    <row r="62" spans="1:10" customFormat="1" x14ac:dyDescent="0.55000000000000004">
      <c r="A62" s="88"/>
      <c r="B62" s="87"/>
      <c r="C62" s="114"/>
      <c r="D62" s="118"/>
      <c r="E62" s="119"/>
      <c r="F62" s="116"/>
      <c r="G62" s="114"/>
      <c r="H62" s="116"/>
      <c r="I62" s="114"/>
      <c r="J62" s="88"/>
    </row>
    <row r="63" spans="1:10" customFormat="1" x14ac:dyDescent="0.55000000000000004">
      <c r="A63" s="88"/>
      <c r="B63" s="87"/>
      <c r="C63" s="114"/>
      <c r="D63" s="118"/>
      <c r="E63" s="119"/>
      <c r="F63" s="114"/>
      <c r="G63" s="114"/>
      <c r="H63" s="116"/>
      <c r="I63" s="114"/>
      <c r="J63" s="88"/>
    </row>
    <row r="64" spans="1:10" customFormat="1" x14ac:dyDescent="0.55000000000000004">
      <c r="A64" s="88"/>
      <c r="B64" s="87"/>
      <c r="C64" s="114"/>
      <c r="D64" s="118"/>
      <c r="E64" s="113"/>
      <c r="F64" s="114"/>
      <c r="G64" s="114"/>
      <c r="H64" s="116"/>
      <c r="I64" s="114"/>
      <c r="J64" s="88"/>
    </row>
    <row r="65" spans="1:10" customFormat="1" x14ac:dyDescent="0.55000000000000004">
      <c r="A65" s="88"/>
      <c r="B65" s="87"/>
      <c r="C65" s="114"/>
      <c r="D65" s="118"/>
      <c r="E65" s="119"/>
      <c r="F65" s="114"/>
      <c r="G65" s="114"/>
      <c r="H65" s="114"/>
      <c r="I65" s="114"/>
      <c r="J65" s="88"/>
    </row>
    <row r="67" spans="1:10" customFormat="1" x14ac:dyDescent="0.55000000000000004">
      <c r="A67" s="88"/>
      <c r="B67" s="87"/>
      <c r="C67" s="88"/>
      <c r="D67" s="120"/>
      <c r="E67" s="89"/>
      <c r="F67" s="88"/>
      <c r="G67" s="88"/>
      <c r="H67" s="88"/>
      <c r="I67" s="88"/>
      <c r="J67" s="88"/>
    </row>
    <row r="69" spans="1:10" customFormat="1" x14ac:dyDescent="0.55000000000000004">
      <c r="A69" s="88"/>
      <c r="B69" s="87"/>
      <c r="C69" s="88"/>
      <c r="D69" s="121"/>
      <c r="E69" s="89"/>
      <c r="F69" s="88"/>
      <c r="G69" s="88"/>
      <c r="H69" s="88"/>
      <c r="I69" s="88"/>
      <c r="J69" s="88"/>
    </row>
    <row r="70" spans="1:10" customFormat="1" x14ac:dyDescent="0.55000000000000004">
      <c r="A70" s="88"/>
      <c r="B70" s="87"/>
      <c r="C70" s="88"/>
      <c r="D70" s="121"/>
      <c r="E70" s="89"/>
      <c r="F70" s="88"/>
      <c r="G70" s="88"/>
      <c r="H70" s="88"/>
      <c r="I70" s="88"/>
      <c r="J70" s="88"/>
    </row>
    <row r="79" spans="1:10" x14ac:dyDescent="0.55000000000000004">
      <c r="B79" s="330" t="s">
        <v>151</v>
      </c>
      <c r="C79" s="330"/>
    </row>
    <row r="81" spans="2:10" ht="24.6" x14ac:dyDescent="0.55000000000000004">
      <c r="B81" s="122">
        <v>1</v>
      </c>
      <c r="C81" s="94" t="s">
        <v>52</v>
      </c>
      <c r="D81" s="95">
        <v>700093</v>
      </c>
      <c r="E81" s="94" t="s">
        <v>53</v>
      </c>
      <c r="F81" s="96" t="s">
        <v>54</v>
      </c>
      <c r="G81" s="95">
        <v>1910210582</v>
      </c>
      <c r="H81" s="97">
        <v>27000</v>
      </c>
      <c r="I81" s="98">
        <v>6243</v>
      </c>
      <c r="J81" s="98">
        <f>H81+I81</f>
        <v>33243</v>
      </c>
    </row>
    <row r="82" spans="2:10" x14ac:dyDescent="0.55000000000000004">
      <c r="B82" s="122">
        <v>2</v>
      </c>
      <c r="C82" s="94" t="s">
        <v>55</v>
      </c>
      <c r="D82" s="95">
        <v>700075</v>
      </c>
      <c r="E82" s="94" t="s">
        <v>53</v>
      </c>
      <c r="F82" s="95" t="s">
        <v>56</v>
      </c>
      <c r="G82" s="95">
        <v>1300542466</v>
      </c>
      <c r="H82" s="97">
        <v>23000</v>
      </c>
      <c r="I82" s="98">
        <v>6243</v>
      </c>
      <c r="J82" s="98">
        <f t="shared" ref="J82:J98" si="1">H82+I82</f>
        <v>29243</v>
      </c>
    </row>
    <row r="83" spans="2:10" x14ac:dyDescent="0.55000000000000004">
      <c r="B83" s="122">
        <v>3</v>
      </c>
      <c r="C83" s="94" t="s">
        <v>66</v>
      </c>
      <c r="D83" s="99">
        <v>700044</v>
      </c>
      <c r="E83" s="94" t="s">
        <v>67</v>
      </c>
      <c r="F83" s="100" t="s">
        <v>68</v>
      </c>
      <c r="G83" s="99">
        <v>1730373458</v>
      </c>
      <c r="H83" s="101">
        <v>21000</v>
      </c>
      <c r="I83" s="98">
        <v>6243</v>
      </c>
      <c r="J83" s="98">
        <f t="shared" si="1"/>
        <v>27243</v>
      </c>
    </row>
    <row r="84" spans="2:10" x14ac:dyDescent="0.55000000000000004">
      <c r="B84" s="122">
        <v>4</v>
      </c>
      <c r="C84" s="94" t="s">
        <v>69</v>
      </c>
      <c r="D84" s="102">
        <v>700082</v>
      </c>
      <c r="E84" s="94" t="s">
        <v>70</v>
      </c>
      <c r="F84" s="102" t="s">
        <v>71</v>
      </c>
      <c r="G84" s="95">
        <v>1751577561</v>
      </c>
      <c r="H84" s="97">
        <v>23000</v>
      </c>
      <c r="I84" s="98">
        <v>6243</v>
      </c>
      <c r="J84" s="98">
        <f t="shared" si="1"/>
        <v>29243</v>
      </c>
    </row>
    <row r="85" spans="2:10" x14ac:dyDescent="0.55000000000000004">
      <c r="B85" s="122">
        <v>5</v>
      </c>
      <c r="C85" s="94" t="s">
        <v>76</v>
      </c>
      <c r="D85" s="95">
        <v>700042</v>
      </c>
      <c r="E85" s="94" t="s">
        <v>67</v>
      </c>
      <c r="F85" s="95" t="s">
        <v>77</v>
      </c>
      <c r="G85" s="99">
        <v>1730373613</v>
      </c>
      <c r="H85" s="101">
        <v>24000</v>
      </c>
      <c r="I85" s="98">
        <v>6243</v>
      </c>
      <c r="J85" s="98">
        <f t="shared" si="1"/>
        <v>30243</v>
      </c>
    </row>
    <row r="86" spans="2:10" x14ac:dyDescent="0.55000000000000004">
      <c r="B86" s="122">
        <v>6</v>
      </c>
      <c r="C86" s="94" t="s">
        <v>84</v>
      </c>
      <c r="D86" s="95">
        <v>700059</v>
      </c>
      <c r="E86" s="94" t="s">
        <v>85</v>
      </c>
      <c r="F86" s="95" t="s">
        <v>86</v>
      </c>
      <c r="G86" s="95">
        <v>1757733370</v>
      </c>
      <c r="H86" s="97">
        <v>18000</v>
      </c>
      <c r="I86" s="98">
        <v>6243</v>
      </c>
      <c r="J86" s="98">
        <f t="shared" si="1"/>
        <v>24243</v>
      </c>
    </row>
    <row r="87" spans="2:10" x14ac:dyDescent="0.55000000000000004">
      <c r="B87" s="122">
        <v>7</v>
      </c>
      <c r="C87" s="94" t="s">
        <v>92</v>
      </c>
      <c r="D87" s="99">
        <v>700039</v>
      </c>
      <c r="E87" s="94" t="s">
        <v>70</v>
      </c>
      <c r="F87" s="100" t="s">
        <v>93</v>
      </c>
      <c r="G87" s="99">
        <v>1712308009</v>
      </c>
      <c r="H87" s="101">
        <v>22000</v>
      </c>
      <c r="I87" s="98">
        <v>6243</v>
      </c>
      <c r="J87" s="98">
        <f t="shared" si="1"/>
        <v>28243</v>
      </c>
    </row>
    <row r="88" spans="2:10" x14ac:dyDescent="0.55000000000000004">
      <c r="B88" s="123">
        <v>8</v>
      </c>
      <c r="C88" s="124" t="s">
        <v>57</v>
      </c>
      <c r="D88" s="99">
        <v>700002</v>
      </c>
      <c r="E88" s="124" t="s">
        <v>67</v>
      </c>
      <c r="F88" s="125" t="s">
        <v>105</v>
      </c>
      <c r="G88" s="99">
        <v>1730373479</v>
      </c>
      <c r="H88" s="101">
        <v>22000</v>
      </c>
      <c r="I88" s="126">
        <v>6243</v>
      </c>
      <c r="J88" s="126">
        <f t="shared" si="1"/>
        <v>28243</v>
      </c>
    </row>
    <row r="89" spans="2:10" x14ac:dyDescent="0.55000000000000004">
      <c r="B89" s="122">
        <v>9</v>
      </c>
      <c r="C89" s="94" t="s">
        <v>109</v>
      </c>
      <c r="D89" s="95">
        <v>700088</v>
      </c>
      <c r="E89" s="94" t="s">
        <v>70</v>
      </c>
      <c r="F89" s="95" t="s">
        <v>110</v>
      </c>
      <c r="G89" s="95">
        <v>1705813113</v>
      </c>
      <c r="H89" s="97">
        <v>18000</v>
      </c>
      <c r="I89" s="98">
        <v>6243</v>
      </c>
      <c r="J89" s="98">
        <f t="shared" si="1"/>
        <v>24243</v>
      </c>
    </row>
    <row r="90" spans="2:10" x14ac:dyDescent="0.55000000000000004">
      <c r="B90" s="122">
        <v>10</v>
      </c>
      <c r="C90" s="94" t="s">
        <v>115</v>
      </c>
      <c r="D90" s="95">
        <v>700085</v>
      </c>
      <c r="E90" s="94" t="s">
        <v>70</v>
      </c>
      <c r="F90" s="95" t="s">
        <v>116</v>
      </c>
      <c r="G90" s="95">
        <v>1400457241</v>
      </c>
      <c r="H90" s="97">
        <v>18000</v>
      </c>
      <c r="I90" s="98">
        <v>6243</v>
      </c>
      <c r="J90" s="98">
        <f t="shared" si="1"/>
        <v>24243</v>
      </c>
    </row>
    <row r="91" spans="2:10" x14ac:dyDescent="0.55000000000000004">
      <c r="B91" s="122">
        <v>11</v>
      </c>
      <c r="C91" s="94" t="s">
        <v>121</v>
      </c>
      <c r="D91" s="95">
        <v>700081</v>
      </c>
      <c r="E91" s="94" t="s">
        <v>70</v>
      </c>
      <c r="F91" s="95" t="s">
        <v>71</v>
      </c>
      <c r="G91" s="95">
        <v>1957719741</v>
      </c>
      <c r="H91" s="97">
        <v>23000</v>
      </c>
      <c r="I91" s="98">
        <v>6243</v>
      </c>
      <c r="J91" s="98">
        <f t="shared" si="1"/>
        <v>29243</v>
      </c>
    </row>
    <row r="92" spans="2:10" x14ac:dyDescent="0.55000000000000004">
      <c r="B92" s="122">
        <v>12</v>
      </c>
      <c r="C92" s="94" t="s">
        <v>122</v>
      </c>
      <c r="D92" s="102">
        <v>700089</v>
      </c>
      <c r="E92" s="94" t="s">
        <v>70</v>
      </c>
      <c r="F92" s="102" t="s">
        <v>123</v>
      </c>
      <c r="G92" s="95">
        <v>1741986291</v>
      </c>
      <c r="H92" s="97">
        <v>18000</v>
      </c>
      <c r="I92" s="98">
        <v>6243</v>
      </c>
      <c r="J92" s="98">
        <f t="shared" si="1"/>
        <v>24243</v>
      </c>
    </row>
    <row r="93" spans="2:10" x14ac:dyDescent="0.55000000000000004">
      <c r="B93" s="122">
        <v>13</v>
      </c>
      <c r="C93" s="94" t="s">
        <v>124</v>
      </c>
      <c r="D93" s="102">
        <v>700076</v>
      </c>
      <c r="E93" s="94" t="s">
        <v>99</v>
      </c>
      <c r="F93" s="102" t="s">
        <v>75</v>
      </c>
      <c r="G93" s="95">
        <v>1779854207</v>
      </c>
      <c r="H93" s="97">
        <v>17000</v>
      </c>
      <c r="I93" s="98">
        <v>6243</v>
      </c>
      <c r="J93" s="98">
        <f t="shared" si="1"/>
        <v>23243</v>
      </c>
    </row>
    <row r="94" spans="2:10" x14ac:dyDescent="0.55000000000000004">
      <c r="B94" s="122">
        <v>14</v>
      </c>
      <c r="C94" s="94" t="s">
        <v>139</v>
      </c>
      <c r="D94" s="95">
        <v>700099</v>
      </c>
      <c r="E94" s="94" t="s">
        <v>140</v>
      </c>
      <c r="F94" s="95" t="s">
        <v>141</v>
      </c>
      <c r="G94" s="95">
        <v>1402043017</v>
      </c>
      <c r="H94" s="111">
        <v>20000</v>
      </c>
      <c r="I94" s="98">
        <v>6243</v>
      </c>
      <c r="J94" s="98">
        <f t="shared" si="1"/>
        <v>26243</v>
      </c>
    </row>
    <row r="95" spans="2:10" x14ac:dyDescent="0.55000000000000004">
      <c r="B95" s="122">
        <v>15</v>
      </c>
      <c r="C95" s="94" t="s">
        <v>152</v>
      </c>
      <c r="D95" s="102">
        <v>700132</v>
      </c>
      <c r="E95" s="94" t="s">
        <v>70</v>
      </c>
      <c r="F95" s="102" t="s">
        <v>153</v>
      </c>
      <c r="G95" s="95"/>
      <c r="H95" s="97">
        <v>20500</v>
      </c>
      <c r="I95" s="98">
        <v>6243</v>
      </c>
      <c r="J95" s="98">
        <f t="shared" si="1"/>
        <v>26743</v>
      </c>
    </row>
    <row r="96" spans="2:10" x14ac:dyDescent="0.55000000000000004">
      <c r="B96" s="122">
        <v>16</v>
      </c>
      <c r="C96" s="94" t="s">
        <v>154</v>
      </c>
      <c r="D96" s="102">
        <v>700012</v>
      </c>
      <c r="E96" s="94" t="s">
        <v>70</v>
      </c>
      <c r="F96" s="102" t="s">
        <v>155</v>
      </c>
      <c r="G96" s="95"/>
      <c r="H96" s="97">
        <v>18000</v>
      </c>
      <c r="I96" s="98">
        <v>6243</v>
      </c>
      <c r="J96" s="98">
        <f t="shared" si="1"/>
        <v>24243</v>
      </c>
    </row>
    <row r="97" spans="2:16" x14ac:dyDescent="0.55000000000000004">
      <c r="B97" s="122">
        <v>17</v>
      </c>
      <c r="C97" s="94" t="s">
        <v>156</v>
      </c>
      <c r="D97" s="95">
        <v>700110</v>
      </c>
      <c r="E97" s="94" t="s">
        <v>53</v>
      </c>
      <c r="F97" s="102" t="s">
        <v>157</v>
      </c>
      <c r="G97" s="95"/>
      <c r="H97" s="97">
        <v>20000</v>
      </c>
      <c r="I97" s="98">
        <v>6243</v>
      </c>
      <c r="J97" s="98">
        <f t="shared" si="1"/>
        <v>26243</v>
      </c>
    </row>
    <row r="98" spans="2:16" x14ac:dyDescent="0.55000000000000004">
      <c r="B98" s="122">
        <v>18</v>
      </c>
      <c r="C98" s="94" t="s">
        <v>158</v>
      </c>
      <c r="D98" s="95">
        <v>700111</v>
      </c>
      <c r="E98" s="94" t="s">
        <v>70</v>
      </c>
      <c r="F98" s="102" t="s">
        <v>157</v>
      </c>
      <c r="G98" s="95"/>
      <c r="H98" s="97">
        <v>20000</v>
      </c>
      <c r="I98" s="98">
        <v>6243</v>
      </c>
      <c r="J98" s="98">
        <f t="shared" si="1"/>
        <v>26243</v>
      </c>
    </row>
    <row r="99" spans="2:16" ht="13.5" customHeight="1" x14ac:dyDescent="0.55000000000000004">
      <c r="B99" s="331" t="s">
        <v>159</v>
      </c>
      <c r="C99" s="332"/>
      <c r="D99" s="128"/>
      <c r="E99" s="127"/>
      <c r="F99" s="128"/>
      <c r="G99" s="128"/>
      <c r="H99" s="128"/>
      <c r="I99" s="128"/>
      <c r="J99" s="129">
        <f>SUBTOTAL(9,J81:J98)</f>
        <v>484874</v>
      </c>
    </row>
    <row r="100" spans="2:16" ht="15" customHeight="1" x14ac:dyDescent="0.55000000000000004">
      <c r="B100" s="333" t="s">
        <v>160</v>
      </c>
      <c r="C100" s="334"/>
      <c r="D100" s="131"/>
      <c r="E100" s="130"/>
      <c r="F100" s="131"/>
      <c r="G100" s="131"/>
      <c r="H100" s="131"/>
      <c r="I100" s="131"/>
      <c r="J100" s="132">
        <f>J99/18</f>
        <v>26937.444444444445</v>
      </c>
    </row>
    <row r="101" spans="2:16" x14ac:dyDescent="0.55000000000000004">
      <c r="H101" s="88">
        <v>20700</v>
      </c>
    </row>
    <row r="102" spans="2:16" x14ac:dyDescent="0.55000000000000004">
      <c r="B102" s="335" t="s">
        <v>161</v>
      </c>
      <c r="C102" s="335"/>
      <c r="H102" s="88">
        <f>H101*1.3</f>
        <v>26910</v>
      </c>
    </row>
    <row r="103" spans="2:16" ht="3.75" customHeight="1" x14ac:dyDescent="0.55000000000000004"/>
    <row r="104" spans="2:16" x14ac:dyDescent="0.55000000000000004">
      <c r="B104" s="93">
        <v>1</v>
      </c>
      <c r="C104" s="94" t="s">
        <v>57</v>
      </c>
      <c r="D104" s="95">
        <v>700065</v>
      </c>
      <c r="E104" s="94" t="s">
        <v>58</v>
      </c>
      <c r="F104" s="95" t="s">
        <v>59</v>
      </c>
      <c r="G104" s="95">
        <v>1540695291</v>
      </c>
      <c r="H104" s="97">
        <v>13000</v>
      </c>
      <c r="I104" s="112">
        <v>5070</v>
      </c>
      <c r="J104" s="98">
        <f>H104+I104</f>
        <v>18070</v>
      </c>
    </row>
    <row r="105" spans="2:16" x14ac:dyDescent="0.55000000000000004">
      <c r="B105" s="93">
        <v>2</v>
      </c>
      <c r="C105" s="94" t="s">
        <v>60</v>
      </c>
      <c r="D105" s="95">
        <v>700056</v>
      </c>
      <c r="E105" s="94" t="s">
        <v>61</v>
      </c>
      <c r="F105" s="95" t="s">
        <v>62</v>
      </c>
      <c r="G105" s="95">
        <v>1936276818</v>
      </c>
      <c r="H105" s="97">
        <v>13000</v>
      </c>
      <c r="I105" s="112">
        <v>5070</v>
      </c>
      <c r="J105" s="98">
        <f t="shared" ref="J105:J143" si="2">H105+I105</f>
        <v>18070</v>
      </c>
    </row>
    <row r="106" spans="2:16" x14ac:dyDescent="0.55000000000000004">
      <c r="B106" s="93">
        <v>3</v>
      </c>
      <c r="C106" s="94" t="s">
        <v>63</v>
      </c>
      <c r="D106" s="95">
        <v>700057</v>
      </c>
      <c r="E106" s="94" t="s">
        <v>64</v>
      </c>
      <c r="F106" s="95" t="s">
        <v>65</v>
      </c>
      <c r="G106" s="95">
        <v>1946278945</v>
      </c>
      <c r="H106" s="97">
        <v>13000</v>
      </c>
      <c r="I106" s="112">
        <v>5070</v>
      </c>
      <c r="J106" s="98">
        <f t="shared" si="2"/>
        <v>18070</v>
      </c>
      <c r="P106" s="133"/>
    </row>
    <row r="107" spans="2:16" x14ac:dyDescent="0.55000000000000004">
      <c r="B107" s="93">
        <v>4</v>
      </c>
      <c r="C107" s="94" t="s">
        <v>72</v>
      </c>
      <c r="D107" s="95">
        <v>700041</v>
      </c>
      <c r="E107" s="94" t="s">
        <v>58</v>
      </c>
      <c r="F107" s="100" t="s">
        <v>73</v>
      </c>
      <c r="G107" s="95">
        <v>1673580076</v>
      </c>
      <c r="H107" s="97">
        <v>12000</v>
      </c>
      <c r="I107" s="112">
        <v>5070</v>
      </c>
      <c r="J107" s="98">
        <f t="shared" si="2"/>
        <v>17070</v>
      </c>
      <c r="P107" s="133"/>
    </row>
    <row r="108" spans="2:16" x14ac:dyDescent="0.55000000000000004">
      <c r="B108" s="93">
        <v>5</v>
      </c>
      <c r="C108" s="103" t="s">
        <v>74</v>
      </c>
      <c r="D108" s="95">
        <v>700077</v>
      </c>
      <c r="E108" s="94" t="s">
        <v>58</v>
      </c>
      <c r="F108" s="95" t="s">
        <v>75</v>
      </c>
      <c r="G108" s="95">
        <v>1325438591</v>
      </c>
      <c r="H108" s="97">
        <v>15000</v>
      </c>
      <c r="I108" s="112">
        <v>5070</v>
      </c>
      <c r="J108" s="98">
        <f t="shared" si="2"/>
        <v>20070</v>
      </c>
      <c r="P108" s="133"/>
    </row>
    <row r="109" spans="2:16" x14ac:dyDescent="0.55000000000000004">
      <c r="B109" s="93">
        <v>6</v>
      </c>
      <c r="C109" s="94" t="s">
        <v>78</v>
      </c>
      <c r="D109" s="95">
        <v>700033</v>
      </c>
      <c r="E109" s="94" t="s">
        <v>79</v>
      </c>
      <c r="F109" s="100" t="s">
        <v>80</v>
      </c>
      <c r="G109" s="99">
        <v>1730088540</v>
      </c>
      <c r="H109" s="101">
        <v>20000</v>
      </c>
      <c r="I109" s="112">
        <v>5070</v>
      </c>
      <c r="J109" s="98">
        <f t="shared" si="2"/>
        <v>25070</v>
      </c>
      <c r="P109" s="133"/>
    </row>
    <row r="110" spans="2:16" x14ac:dyDescent="0.55000000000000004">
      <c r="B110" s="93">
        <v>7</v>
      </c>
      <c r="C110" s="94" t="s">
        <v>81</v>
      </c>
      <c r="D110" s="95">
        <v>700087</v>
      </c>
      <c r="E110" s="94" t="s">
        <v>82</v>
      </c>
      <c r="F110" s="95" t="s">
        <v>83</v>
      </c>
      <c r="G110" s="95">
        <v>1327789763</v>
      </c>
      <c r="H110" s="97">
        <v>13000</v>
      </c>
      <c r="I110" s="112">
        <v>5070</v>
      </c>
      <c r="J110" s="98">
        <f t="shared" si="2"/>
        <v>18070</v>
      </c>
      <c r="P110" s="133"/>
    </row>
    <row r="111" spans="2:16" x14ac:dyDescent="0.55000000000000004">
      <c r="B111" s="93">
        <v>8</v>
      </c>
      <c r="C111" s="94" t="s">
        <v>87</v>
      </c>
      <c r="D111" s="95">
        <v>700070</v>
      </c>
      <c r="E111" s="94" t="s">
        <v>88</v>
      </c>
      <c r="F111" s="95" t="s">
        <v>89</v>
      </c>
      <c r="G111" s="95">
        <v>1829817577</v>
      </c>
      <c r="H111" s="97">
        <v>14000</v>
      </c>
      <c r="I111" s="112">
        <v>5070</v>
      </c>
      <c r="J111" s="98">
        <f t="shared" si="2"/>
        <v>19070</v>
      </c>
      <c r="P111" s="133"/>
    </row>
    <row r="112" spans="2:16" x14ac:dyDescent="0.55000000000000004">
      <c r="B112" s="93">
        <v>9</v>
      </c>
      <c r="C112" s="94" t="s">
        <v>90</v>
      </c>
      <c r="D112" s="99">
        <v>700094</v>
      </c>
      <c r="E112" s="94" t="s">
        <v>58</v>
      </c>
      <c r="F112" s="99" t="s">
        <v>91</v>
      </c>
      <c r="G112" s="99">
        <v>1688801619</v>
      </c>
      <c r="H112" s="101">
        <v>13000</v>
      </c>
      <c r="I112" s="112">
        <v>5070</v>
      </c>
      <c r="J112" s="98">
        <f t="shared" si="2"/>
        <v>18070</v>
      </c>
      <c r="P112" s="133"/>
    </row>
    <row r="113" spans="2:16" x14ac:dyDescent="0.55000000000000004">
      <c r="B113" s="93">
        <v>10</v>
      </c>
      <c r="C113" s="94" t="s">
        <v>94</v>
      </c>
      <c r="D113" s="99">
        <v>700063</v>
      </c>
      <c r="E113" s="94" t="s">
        <v>82</v>
      </c>
      <c r="F113" s="99" t="s">
        <v>95</v>
      </c>
      <c r="G113" s="95">
        <v>1778465120</v>
      </c>
      <c r="H113" s="97">
        <v>13000</v>
      </c>
      <c r="I113" s="112">
        <v>5070</v>
      </c>
      <c r="J113" s="98">
        <f t="shared" si="2"/>
        <v>18070</v>
      </c>
      <c r="P113" s="133"/>
    </row>
    <row r="114" spans="2:16" x14ac:dyDescent="0.55000000000000004">
      <c r="B114" s="93">
        <v>11</v>
      </c>
      <c r="C114" s="94" t="s">
        <v>96</v>
      </c>
      <c r="D114" s="95">
        <v>700028</v>
      </c>
      <c r="E114" s="94" t="s">
        <v>58</v>
      </c>
      <c r="F114" s="104" t="s">
        <v>97</v>
      </c>
      <c r="G114" s="95">
        <v>1620077576</v>
      </c>
      <c r="H114" s="97">
        <v>13000</v>
      </c>
      <c r="I114" s="112">
        <v>5070</v>
      </c>
      <c r="J114" s="98">
        <f t="shared" si="2"/>
        <v>18070</v>
      </c>
      <c r="P114" s="133"/>
    </row>
    <row r="115" spans="2:16" x14ac:dyDescent="0.55000000000000004">
      <c r="B115" s="93">
        <v>12</v>
      </c>
      <c r="C115" s="106" t="s">
        <v>101</v>
      </c>
      <c r="D115" s="95">
        <v>700080</v>
      </c>
      <c r="E115" s="94" t="s">
        <v>58</v>
      </c>
      <c r="F115" s="95" t="s">
        <v>102</v>
      </c>
      <c r="G115" s="95">
        <v>1318373594</v>
      </c>
      <c r="H115" s="97">
        <v>15000</v>
      </c>
      <c r="I115" s="112">
        <v>5070</v>
      </c>
      <c r="J115" s="98">
        <f t="shared" si="2"/>
        <v>20070</v>
      </c>
      <c r="P115" s="133"/>
    </row>
    <row r="116" spans="2:16" x14ac:dyDescent="0.55000000000000004">
      <c r="B116" s="93">
        <v>13</v>
      </c>
      <c r="C116" s="94" t="s">
        <v>103</v>
      </c>
      <c r="D116" s="95">
        <v>700031</v>
      </c>
      <c r="E116" s="94" t="s">
        <v>58</v>
      </c>
      <c r="F116" s="100" t="s">
        <v>104</v>
      </c>
      <c r="G116" s="95">
        <v>1705667757</v>
      </c>
      <c r="H116" s="97">
        <v>13500</v>
      </c>
      <c r="I116" s="112">
        <v>5070</v>
      </c>
      <c r="J116" s="98">
        <f t="shared" si="2"/>
        <v>18570</v>
      </c>
    </row>
    <row r="117" spans="2:16" x14ac:dyDescent="0.55000000000000004">
      <c r="B117" s="93">
        <v>14</v>
      </c>
      <c r="C117" s="94" t="s">
        <v>106</v>
      </c>
      <c r="D117" s="99">
        <v>700036</v>
      </c>
      <c r="E117" s="94" t="s">
        <v>58</v>
      </c>
      <c r="F117" s="108" t="s">
        <v>107</v>
      </c>
      <c r="G117" s="99">
        <v>1618970279</v>
      </c>
      <c r="H117" s="101">
        <v>15000</v>
      </c>
      <c r="I117" s="112">
        <v>5070</v>
      </c>
      <c r="J117" s="98">
        <f t="shared" si="2"/>
        <v>20070</v>
      </c>
    </row>
    <row r="118" spans="2:16" x14ac:dyDescent="0.55000000000000004">
      <c r="B118" s="93">
        <v>15</v>
      </c>
      <c r="C118" s="94" t="s">
        <v>108</v>
      </c>
      <c r="D118" s="99">
        <v>700064</v>
      </c>
      <c r="E118" s="94" t="s">
        <v>82</v>
      </c>
      <c r="F118" s="99" t="s">
        <v>59</v>
      </c>
      <c r="G118" s="95">
        <v>1706072599</v>
      </c>
      <c r="H118" s="97">
        <v>13000</v>
      </c>
      <c r="I118" s="112">
        <v>5070</v>
      </c>
      <c r="J118" s="98">
        <f t="shared" si="2"/>
        <v>18070</v>
      </c>
    </row>
    <row r="119" spans="2:16" x14ac:dyDescent="0.55000000000000004">
      <c r="B119" s="93">
        <v>16</v>
      </c>
      <c r="C119" s="94" t="s">
        <v>111</v>
      </c>
      <c r="D119" s="95">
        <v>700084</v>
      </c>
      <c r="E119" s="94" t="s">
        <v>58</v>
      </c>
      <c r="F119" s="95" t="s">
        <v>112</v>
      </c>
      <c r="G119" s="95">
        <v>1881956191</v>
      </c>
      <c r="H119" s="97">
        <v>13000</v>
      </c>
      <c r="I119" s="112">
        <v>5070</v>
      </c>
      <c r="J119" s="98">
        <f t="shared" si="2"/>
        <v>18070</v>
      </c>
    </row>
    <row r="120" spans="2:16" x14ac:dyDescent="0.55000000000000004">
      <c r="B120" s="93">
        <v>17</v>
      </c>
      <c r="C120" s="94" t="s">
        <v>113</v>
      </c>
      <c r="D120" s="102">
        <v>700078</v>
      </c>
      <c r="E120" s="94" t="s">
        <v>58</v>
      </c>
      <c r="F120" s="102" t="s">
        <v>75</v>
      </c>
      <c r="G120" s="95">
        <v>1624289489</v>
      </c>
      <c r="H120" s="97">
        <v>13000</v>
      </c>
      <c r="I120" s="112">
        <v>5070</v>
      </c>
      <c r="J120" s="98">
        <f t="shared" si="2"/>
        <v>18070</v>
      </c>
    </row>
    <row r="121" spans="2:16" x14ac:dyDescent="0.55000000000000004">
      <c r="B121" s="93">
        <v>18</v>
      </c>
      <c r="C121" s="94" t="s">
        <v>117</v>
      </c>
      <c r="D121" s="95">
        <v>700067</v>
      </c>
      <c r="E121" s="94" t="s">
        <v>88</v>
      </c>
      <c r="F121" s="95" t="s">
        <v>118</v>
      </c>
      <c r="G121" s="95">
        <v>1774662027</v>
      </c>
      <c r="H121" s="97">
        <v>15000</v>
      </c>
      <c r="I121" s="112">
        <v>5070</v>
      </c>
      <c r="J121" s="98">
        <f t="shared" si="2"/>
        <v>20070</v>
      </c>
    </row>
    <row r="122" spans="2:16" x14ac:dyDescent="0.55000000000000004">
      <c r="B122" s="93">
        <v>19</v>
      </c>
      <c r="C122" s="94" t="s">
        <v>119</v>
      </c>
      <c r="D122" s="95">
        <v>700095</v>
      </c>
      <c r="E122" s="94" t="s">
        <v>88</v>
      </c>
      <c r="F122" s="95" t="s">
        <v>120</v>
      </c>
      <c r="G122" s="95">
        <v>1997660331</v>
      </c>
      <c r="H122" s="97">
        <v>15000</v>
      </c>
      <c r="I122" s="112">
        <v>5070</v>
      </c>
      <c r="J122" s="98">
        <f t="shared" si="2"/>
        <v>20070</v>
      </c>
    </row>
    <row r="123" spans="2:16" x14ac:dyDescent="0.55000000000000004">
      <c r="B123" s="93">
        <v>20</v>
      </c>
      <c r="C123" s="94" t="s">
        <v>125</v>
      </c>
      <c r="D123" s="95">
        <v>700021</v>
      </c>
      <c r="E123" s="94" t="s">
        <v>58</v>
      </c>
      <c r="F123" s="104" t="s">
        <v>126</v>
      </c>
      <c r="G123" s="95">
        <v>1700770106</v>
      </c>
      <c r="H123" s="97">
        <v>15000</v>
      </c>
      <c r="I123" s="112">
        <v>5070</v>
      </c>
      <c r="J123" s="98">
        <f t="shared" si="2"/>
        <v>20070</v>
      </c>
    </row>
    <row r="124" spans="2:16" x14ac:dyDescent="0.55000000000000004">
      <c r="B124" s="93">
        <v>21</v>
      </c>
      <c r="C124" s="94" t="s">
        <v>127</v>
      </c>
      <c r="D124" s="95">
        <v>700055</v>
      </c>
      <c r="E124" s="94" t="s">
        <v>82</v>
      </c>
      <c r="F124" s="95" t="s">
        <v>128</v>
      </c>
      <c r="G124" s="95">
        <v>1991627530</v>
      </c>
      <c r="H124" s="97">
        <v>12000</v>
      </c>
      <c r="I124" s="112">
        <v>5070</v>
      </c>
      <c r="J124" s="98">
        <f t="shared" si="2"/>
        <v>17070</v>
      </c>
    </row>
    <row r="125" spans="2:16" x14ac:dyDescent="0.55000000000000004">
      <c r="B125" s="93">
        <v>22</v>
      </c>
      <c r="C125" s="94" t="s">
        <v>129</v>
      </c>
      <c r="D125" s="95">
        <v>700029</v>
      </c>
      <c r="E125" s="94" t="s">
        <v>58</v>
      </c>
      <c r="F125" s="104" t="s">
        <v>130</v>
      </c>
      <c r="G125" s="95">
        <v>1877283503</v>
      </c>
      <c r="H125" s="97">
        <v>13000</v>
      </c>
      <c r="I125" s="112">
        <v>5070</v>
      </c>
      <c r="J125" s="98">
        <f t="shared" si="2"/>
        <v>18070</v>
      </c>
    </row>
    <row r="126" spans="2:16" x14ac:dyDescent="0.55000000000000004">
      <c r="B126" s="93">
        <v>23</v>
      </c>
      <c r="C126" s="94" t="s">
        <v>131</v>
      </c>
      <c r="D126" s="95">
        <v>700068</v>
      </c>
      <c r="E126" s="94" t="s">
        <v>82</v>
      </c>
      <c r="F126" s="95" t="s">
        <v>118</v>
      </c>
      <c r="G126" s="95">
        <v>1970055437</v>
      </c>
      <c r="H126" s="97">
        <v>13000</v>
      </c>
      <c r="I126" s="112">
        <v>5070</v>
      </c>
      <c r="J126" s="98">
        <f t="shared" si="2"/>
        <v>18070</v>
      </c>
    </row>
    <row r="127" spans="2:16" x14ac:dyDescent="0.55000000000000004">
      <c r="B127" s="93">
        <v>24</v>
      </c>
      <c r="C127" s="94" t="s">
        <v>132</v>
      </c>
      <c r="D127" s="102">
        <v>700090</v>
      </c>
      <c r="E127" s="94" t="s">
        <v>58</v>
      </c>
      <c r="F127" s="102" t="s">
        <v>123</v>
      </c>
      <c r="G127" s="95">
        <v>1705599836</v>
      </c>
      <c r="H127" s="97">
        <v>16000</v>
      </c>
      <c r="I127" s="112">
        <v>5070</v>
      </c>
      <c r="J127" s="98">
        <f t="shared" si="2"/>
        <v>21070</v>
      </c>
    </row>
    <row r="128" spans="2:16" x14ac:dyDescent="0.55000000000000004">
      <c r="B128" s="93">
        <v>25</v>
      </c>
      <c r="C128" s="94" t="s">
        <v>133</v>
      </c>
      <c r="D128" s="102">
        <v>700091</v>
      </c>
      <c r="E128" s="94" t="s">
        <v>88</v>
      </c>
      <c r="F128" s="102" t="s">
        <v>123</v>
      </c>
      <c r="G128" s="99">
        <v>1531795448</v>
      </c>
      <c r="H128" s="109">
        <v>15000</v>
      </c>
      <c r="I128" s="112">
        <v>5070</v>
      </c>
      <c r="J128" s="98">
        <f t="shared" si="2"/>
        <v>20070</v>
      </c>
    </row>
    <row r="129" spans="2:17" x14ac:dyDescent="0.55000000000000004">
      <c r="B129" s="93">
        <v>26</v>
      </c>
      <c r="C129" s="94" t="s">
        <v>134</v>
      </c>
      <c r="D129" s="102">
        <v>700096</v>
      </c>
      <c r="E129" s="94" t="s">
        <v>88</v>
      </c>
      <c r="F129" s="102" t="s">
        <v>135</v>
      </c>
      <c r="G129" s="95">
        <v>1772160396</v>
      </c>
      <c r="H129" s="111">
        <v>15000</v>
      </c>
      <c r="I129" s="112">
        <v>5070</v>
      </c>
      <c r="J129" s="98">
        <f t="shared" si="2"/>
        <v>20070</v>
      </c>
    </row>
    <row r="130" spans="2:17" x14ac:dyDescent="0.55000000000000004">
      <c r="B130" s="93">
        <v>27</v>
      </c>
      <c r="C130" s="94" t="s">
        <v>136</v>
      </c>
      <c r="D130" s="95">
        <v>700097</v>
      </c>
      <c r="E130" s="94" t="s">
        <v>137</v>
      </c>
      <c r="F130" s="102" t="s">
        <v>135</v>
      </c>
      <c r="G130" s="95">
        <v>1877366614</v>
      </c>
      <c r="H130" s="111">
        <v>15500</v>
      </c>
      <c r="I130" s="112">
        <v>5070</v>
      </c>
      <c r="J130" s="98">
        <f t="shared" si="2"/>
        <v>20570</v>
      </c>
    </row>
    <row r="131" spans="2:17" x14ac:dyDescent="0.55000000000000004">
      <c r="B131" s="93">
        <v>28</v>
      </c>
      <c r="C131" s="94" t="s">
        <v>138</v>
      </c>
      <c r="D131" s="95">
        <v>700098</v>
      </c>
      <c r="E131" s="94" t="s">
        <v>137</v>
      </c>
      <c r="F131" s="102" t="s">
        <v>135</v>
      </c>
      <c r="G131" s="95">
        <v>1946075439</v>
      </c>
      <c r="H131" s="111">
        <v>16000</v>
      </c>
      <c r="I131" s="112">
        <v>5070</v>
      </c>
      <c r="J131" s="98">
        <f t="shared" si="2"/>
        <v>21070</v>
      </c>
    </row>
    <row r="132" spans="2:17" x14ac:dyDescent="0.55000000000000004">
      <c r="B132" s="93">
        <v>29</v>
      </c>
      <c r="C132" s="94" t="s">
        <v>162</v>
      </c>
      <c r="D132" s="95">
        <v>700133</v>
      </c>
      <c r="E132" s="94" t="s">
        <v>82</v>
      </c>
      <c r="F132" s="102" t="s">
        <v>163</v>
      </c>
      <c r="G132" s="95"/>
      <c r="H132" s="111">
        <v>13000</v>
      </c>
      <c r="I132" s="112">
        <v>5070</v>
      </c>
      <c r="J132" s="98">
        <f t="shared" si="2"/>
        <v>18070</v>
      </c>
    </row>
    <row r="133" spans="2:17" x14ac:dyDescent="0.55000000000000004">
      <c r="B133" s="93">
        <v>30</v>
      </c>
      <c r="C133" s="94" t="s">
        <v>164</v>
      </c>
      <c r="D133" s="95">
        <v>700129</v>
      </c>
      <c r="E133" s="94" t="s">
        <v>82</v>
      </c>
      <c r="F133" s="102" t="s">
        <v>165</v>
      </c>
      <c r="G133" s="95"/>
      <c r="H133" s="111">
        <v>13000</v>
      </c>
      <c r="I133" s="112">
        <v>5070</v>
      </c>
      <c r="J133" s="98">
        <f t="shared" si="2"/>
        <v>18070</v>
      </c>
    </row>
    <row r="134" spans="2:17" x14ac:dyDescent="0.55000000000000004">
      <c r="B134" s="93">
        <v>31</v>
      </c>
      <c r="C134" s="94" t="s">
        <v>166</v>
      </c>
      <c r="D134" s="95">
        <v>700122</v>
      </c>
      <c r="E134" s="94" t="s">
        <v>58</v>
      </c>
      <c r="F134" s="102" t="s">
        <v>167</v>
      </c>
      <c r="G134" s="95"/>
      <c r="H134" s="111">
        <v>13000</v>
      </c>
      <c r="I134" s="112">
        <v>5070</v>
      </c>
      <c r="J134" s="98">
        <f t="shared" si="2"/>
        <v>18070</v>
      </c>
    </row>
    <row r="135" spans="2:17" x14ac:dyDescent="0.55000000000000004">
      <c r="B135" s="93">
        <v>32</v>
      </c>
      <c r="C135" s="94" t="s">
        <v>168</v>
      </c>
      <c r="D135" s="95">
        <v>700134</v>
      </c>
      <c r="E135" s="94" t="s">
        <v>82</v>
      </c>
      <c r="F135" s="102" t="s">
        <v>169</v>
      </c>
      <c r="G135" s="95"/>
      <c r="H135" s="111">
        <v>12000</v>
      </c>
      <c r="I135" s="112">
        <v>5070</v>
      </c>
      <c r="J135" s="98">
        <f t="shared" si="2"/>
        <v>17070</v>
      </c>
    </row>
    <row r="136" spans="2:17" x14ac:dyDescent="0.55000000000000004">
      <c r="B136" s="93">
        <v>33</v>
      </c>
      <c r="C136" s="94" t="s">
        <v>170</v>
      </c>
      <c r="D136" s="95">
        <v>700131</v>
      </c>
      <c r="E136" s="94" t="s">
        <v>82</v>
      </c>
      <c r="F136" s="102" t="s">
        <v>171</v>
      </c>
      <c r="G136" s="95"/>
      <c r="H136" s="111">
        <v>13000</v>
      </c>
      <c r="I136" s="112">
        <v>5070</v>
      </c>
      <c r="J136" s="98">
        <f t="shared" si="2"/>
        <v>18070</v>
      </c>
    </row>
    <row r="137" spans="2:17" x14ac:dyDescent="0.55000000000000004">
      <c r="B137" s="93">
        <v>34</v>
      </c>
      <c r="C137" s="94" t="s">
        <v>172</v>
      </c>
      <c r="D137" s="95">
        <v>700125</v>
      </c>
      <c r="E137" s="94" t="s">
        <v>82</v>
      </c>
      <c r="F137" s="102" t="s">
        <v>173</v>
      </c>
      <c r="G137" s="95"/>
      <c r="H137" s="111">
        <v>12000</v>
      </c>
      <c r="I137" s="112">
        <v>5070</v>
      </c>
      <c r="J137" s="98">
        <f t="shared" si="2"/>
        <v>17070</v>
      </c>
    </row>
    <row r="138" spans="2:17" x14ac:dyDescent="0.55000000000000004">
      <c r="B138" s="93">
        <v>35</v>
      </c>
      <c r="C138" s="94" t="s">
        <v>174</v>
      </c>
      <c r="D138" s="95">
        <v>700124</v>
      </c>
      <c r="E138" s="94" t="s">
        <v>82</v>
      </c>
      <c r="F138" s="102" t="s">
        <v>173</v>
      </c>
      <c r="G138" s="95"/>
      <c r="H138" s="111">
        <v>12000</v>
      </c>
      <c r="I138" s="112">
        <v>5070</v>
      </c>
      <c r="J138" s="98">
        <f t="shared" si="2"/>
        <v>17070</v>
      </c>
      <c r="O138" s="88">
        <v>20700</v>
      </c>
      <c r="P138" s="88">
        <f>O138*0.3/30*26</f>
        <v>5382</v>
      </c>
      <c r="Q138" s="88">
        <v>5400</v>
      </c>
    </row>
    <row r="139" spans="2:17" x14ac:dyDescent="0.55000000000000004">
      <c r="B139" s="93">
        <v>36</v>
      </c>
      <c r="C139" s="94" t="s">
        <v>175</v>
      </c>
      <c r="D139" s="95">
        <v>700130</v>
      </c>
      <c r="E139" s="94" t="s">
        <v>82</v>
      </c>
      <c r="F139" s="102" t="s">
        <v>171</v>
      </c>
      <c r="G139" s="95"/>
      <c r="H139" s="111">
        <v>12000</v>
      </c>
      <c r="I139" s="112">
        <v>5070</v>
      </c>
      <c r="J139" s="98">
        <f t="shared" si="2"/>
        <v>17070</v>
      </c>
      <c r="O139" s="88">
        <v>13800</v>
      </c>
      <c r="P139" s="88">
        <f>O139*0.3/30*26</f>
        <v>3588</v>
      </c>
      <c r="Q139" s="88">
        <v>3600</v>
      </c>
    </row>
    <row r="140" spans="2:17" x14ac:dyDescent="0.55000000000000004">
      <c r="B140" s="93">
        <v>37</v>
      </c>
      <c r="C140" s="94" t="s">
        <v>176</v>
      </c>
      <c r="D140" s="95">
        <v>700119</v>
      </c>
      <c r="E140" s="94" t="s">
        <v>137</v>
      </c>
      <c r="F140" s="102" t="s">
        <v>155</v>
      </c>
      <c r="G140" s="95"/>
      <c r="H140" s="111">
        <v>14000</v>
      </c>
      <c r="I140" s="112">
        <v>5070</v>
      </c>
      <c r="J140" s="98">
        <f t="shared" si="2"/>
        <v>19070</v>
      </c>
    </row>
    <row r="141" spans="2:17" x14ac:dyDescent="0.55000000000000004">
      <c r="B141" s="93">
        <v>38</v>
      </c>
      <c r="C141" s="94" t="s">
        <v>177</v>
      </c>
      <c r="D141" s="95">
        <v>700118</v>
      </c>
      <c r="E141" s="94" t="s">
        <v>82</v>
      </c>
      <c r="F141" s="102" t="s">
        <v>155</v>
      </c>
      <c r="G141" s="95"/>
      <c r="H141" s="111">
        <v>12000</v>
      </c>
      <c r="I141" s="112">
        <v>5070</v>
      </c>
      <c r="J141" s="98">
        <f t="shared" si="2"/>
        <v>17070</v>
      </c>
    </row>
    <row r="142" spans="2:17" x14ac:dyDescent="0.55000000000000004">
      <c r="B142" s="93">
        <v>39</v>
      </c>
      <c r="C142" s="94" t="s">
        <v>178</v>
      </c>
      <c r="D142" s="95">
        <v>700112</v>
      </c>
      <c r="E142" s="94" t="s">
        <v>79</v>
      </c>
      <c r="F142" s="102" t="s">
        <v>157</v>
      </c>
      <c r="G142" s="95"/>
      <c r="H142" s="111">
        <v>15000</v>
      </c>
      <c r="I142" s="112">
        <v>6243</v>
      </c>
      <c r="J142" s="98">
        <f t="shared" si="2"/>
        <v>21243</v>
      </c>
    </row>
    <row r="143" spans="2:17" x14ac:dyDescent="0.55000000000000004">
      <c r="B143" s="93">
        <v>40</v>
      </c>
      <c r="C143" s="94" t="s">
        <v>179</v>
      </c>
      <c r="D143" s="95">
        <v>700126</v>
      </c>
      <c r="E143" s="94" t="s">
        <v>82</v>
      </c>
      <c r="F143" s="102" t="s">
        <v>180</v>
      </c>
      <c r="G143" s="95"/>
      <c r="H143" s="111">
        <v>13000</v>
      </c>
      <c r="I143" s="112">
        <v>5070</v>
      </c>
      <c r="J143" s="98">
        <f t="shared" si="2"/>
        <v>18070</v>
      </c>
    </row>
    <row r="144" spans="2:17" x14ac:dyDescent="0.55000000000000004">
      <c r="B144" s="93" t="s">
        <v>181</v>
      </c>
      <c r="C144" s="94"/>
      <c r="D144" s="95"/>
      <c r="E144" s="94"/>
      <c r="F144" s="102"/>
      <c r="G144" s="95"/>
      <c r="H144" s="111"/>
      <c r="I144" s="112"/>
      <c r="J144" s="98"/>
    </row>
    <row r="145" spans="2:10" x14ac:dyDescent="0.55000000000000004">
      <c r="B145" s="93"/>
      <c r="C145" s="94"/>
      <c r="D145" s="95"/>
      <c r="E145" s="94"/>
      <c r="F145" s="102"/>
      <c r="G145" s="95"/>
      <c r="H145" s="111"/>
      <c r="I145" s="112"/>
      <c r="J145" s="98"/>
    </row>
    <row r="146" spans="2:10" x14ac:dyDescent="0.55000000000000004">
      <c r="B146" s="93"/>
      <c r="C146" s="94"/>
      <c r="D146" s="95"/>
      <c r="E146" s="94"/>
      <c r="F146" s="102"/>
      <c r="G146" s="95"/>
      <c r="H146" s="111"/>
      <c r="I146" s="112"/>
      <c r="J146" s="98"/>
    </row>
    <row r="147" spans="2:10" x14ac:dyDescent="0.55000000000000004">
      <c r="B147" s="93"/>
      <c r="C147" s="94"/>
      <c r="D147" s="95"/>
      <c r="E147" s="94"/>
      <c r="F147" s="102"/>
      <c r="G147" s="95"/>
      <c r="H147" s="111"/>
      <c r="I147" s="112"/>
      <c r="J147" s="98"/>
    </row>
    <row r="148" spans="2:10" x14ac:dyDescent="0.55000000000000004">
      <c r="B148" s="336" t="s">
        <v>159</v>
      </c>
      <c r="C148" s="337"/>
      <c r="D148" s="134"/>
      <c r="E148" s="135"/>
      <c r="F148" s="134"/>
      <c r="G148" s="134"/>
      <c r="H148" s="134"/>
      <c r="I148" s="134"/>
      <c r="J148" s="129">
        <f>SUBTOTAL(9,J104:J147)</f>
        <v>752973</v>
      </c>
    </row>
    <row r="149" spans="2:10" x14ac:dyDescent="0.55000000000000004">
      <c r="B149" s="327" t="s">
        <v>182</v>
      </c>
      <c r="C149" s="328"/>
      <c r="D149" s="136"/>
      <c r="E149" s="137"/>
      <c r="F149" s="136"/>
      <c r="G149" s="136"/>
      <c r="H149" s="136"/>
      <c r="I149" s="136"/>
      <c r="J149" s="132">
        <f>J148/40</f>
        <v>18824.325000000001</v>
      </c>
    </row>
    <row r="151" spans="2:10" x14ac:dyDescent="0.55000000000000004">
      <c r="H151" s="88">
        <v>13725</v>
      </c>
    </row>
    <row r="152" spans="2:10" x14ac:dyDescent="0.55000000000000004">
      <c r="H152" s="88">
        <f>H151*1.3</f>
        <v>17842.5</v>
      </c>
    </row>
  </sheetData>
  <mergeCells count="7">
    <mergeCell ref="B149:C149"/>
    <mergeCell ref="B2:C2"/>
    <mergeCell ref="B79:C79"/>
    <mergeCell ref="B99:C99"/>
    <mergeCell ref="B100:C100"/>
    <mergeCell ref="B102:C102"/>
    <mergeCell ref="B148:C148"/>
  </mergeCells>
  <printOptions horizontalCentered="1"/>
  <pageMargins left="0.23622047244094491" right="0.23622047244094491" top="0.31496062992125984" bottom="0.31496062992125984" header="0.31496062992125984" footer="0.31496062992125984"/>
  <pageSetup paperSize="9" scale="44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Incentive Calc</vt:lpstr>
      <vt:lpstr>Breakeven- avg GP (3)</vt:lpstr>
      <vt:lpstr>Last 6 Months sales </vt:lpstr>
      <vt:lpstr>Breakeven- avg GP (2)</vt:lpstr>
      <vt:lpstr>Farm-26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Hasan</dc:creator>
  <cp:lastModifiedBy>Rafid Muhammed Asif Khan</cp:lastModifiedBy>
  <cp:lastPrinted>2026-06-02T03:48:52Z</cp:lastPrinted>
  <dcterms:created xsi:type="dcterms:W3CDTF">2026-05-14T10:36:37Z</dcterms:created>
  <dcterms:modified xsi:type="dcterms:W3CDTF">2026-06-04T07:20:29Z</dcterms:modified>
</cp:coreProperties>
</file>